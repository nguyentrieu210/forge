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NĂM 2025\CÔNG NỢ 2025\KH LÊ THÚY\KHÁCH LỚN\"/>
    </mc:Choice>
  </mc:AlternateContent>
  <xr:revisionPtr revIDLastSave="0" documentId="13_ncr:1_{0C610F08-50FE-4F10-AC5B-478F3043CC03}" xr6:coauthVersionLast="47" xr6:coauthVersionMax="47" xr10:uidLastSave="{00000000-0000-0000-0000-000000000000}"/>
  <bookViews>
    <workbookView xWindow="1800" yWindow="0" windowWidth="24195" windowHeight="15600" tabRatio="778" activeTab="1" xr2:uid="{568AA795-9F2B-4140-BA0A-58AB5D2D2D88}"/>
  </bookViews>
  <sheets>
    <sheet name="BÁO GIÁ CHỊ XUYÊN" sheetId="9" r:id="rId1"/>
    <sheet name="Sheet2" sheetId="10" r:id="rId2"/>
    <sheet name="BÁO GIÁ" sheetId="1" r:id="rId3"/>
    <sheet name="Sheet1" sheetId="11" r:id="rId4"/>
    <sheet name="T4" sheetId="2" r:id="rId5"/>
    <sheet name="T5" sheetId="3" r:id="rId6"/>
    <sheet name="T5.1" sheetId="4" r:id="rId7"/>
    <sheet name="T6" sheetId="5" r:id="rId8"/>
    <sheet name="T6.2" sheetId="6" r:id="rId9"/>
    <sheet name="T7" sheetId="7" r:id="rId10"/>
    <sheet name="T7-8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0" l="1"/>
  <c r="K19" i="10"/>
  <c r="K20" i="10" s="1"/>
  <c r="J18" i="10"/>
  <c r="J20" i="11"/>
  <c r="J19" i="11"/>
  <c r="J18" i="11"/>
  <c r="J17" i="11"/>
  <c r="J16" i="11"/>
  <c r="H15" i="11"/>
  <c r="G15" i="11"/>
  <c r="G14" i="11"/>
  <c r="J14" i="11" s="1"/>
  <c r="G14" i="9"/>
  <c r="J20" i="10"/>
  <c r="J19" i="10"/>
  <c r="J17" i="10"/>
  <c r="J20" i="9"/>
  <c r="J16" i="10"/>
  <c r="H15" i="10"/>
  <c r="G14" i="10"/>
  <c r="G15" i="10" s="1"/>
  <c r="J14" i="9"/>
  <c r="J22" i="9" s="1"/>
  <c r="J19" i="1"/>
  <c r="J26" i="1"/>
  <c r="O25" i="1"/>
  <c r="N25" i="1"/>
  <c r="P25" i="1" s="1"/>
  <c r="G19" i="1"/>
  <c r="J17" i="1"/>
  <c r="G18" i="1"/>
  <c r="J18" i="1" s="1"/>
  <c r="K16" i="1"/>
  <c r="H20" i="1"/>
  <c r="J20" i="1" s="1"/>
  <c r="J21" i="1"/>
  <c r="J24" i="1"/>
  <c r="J25" i="1"/>
  <c r="J23" i="1"/>
  <c r="J22" i="1"/>
  <c r="G15" i="1"/>
  <c r="J15" i="1" s="1"/>
  <c r="G17" i="1"/>
  <c r="G16" i="1"/>
  <c r="J16" i="1" s="1"/>
  <c r="G14" i="1"/>
  <c r="J14" i="1" s="1"/>
  <c r="K14" i="1" s="1"/>
  <c r="J20" i="8"/>
  <c r="J26" i="8" s="1"/>
  <c r="K16" i="8"/>
  <c r="K17" i="8" s="1"/>
  <c r="K18" i="8" s="1"/>
  <c r="K19" i="8" s="1"/>
  <c r="K20" i="8" s="1"/>
  <c r="K21" i="8" s="1"/>
  <c r="K22" i="8" s="1"/>
  <c r="K23" i="8" s="1"/>
  <c r="K24" i="8" s="1"/>
  <c r="K25" i="8" s="1"/>
  <c r="J18" i="8"/>
  <c r="J23" i="8"/>
  <c r="J22" i="8"/>
  <c r="J24" i="8"/>
  <c r="J25" i="8"/>
  <c r="J21" i="8"/>
  <c r="H20" i="8"/>
  <c r="J19" i="8"/>
  <c r="G19" i="8"/>
  <c r="G18" i="8"/>
  <c r="G20" i="8" s="1"/>
  <c r="J15" i="8"/>
  <c r="J15" i="11" l="1"/>
  <c r="K14" i="11"/>
  <c r="K16" i="11" s="1"/>
  <c r="J15" i="10"/>
  <c r="J14" i="10"/>
  <c r="J21" i="10" s="1"/>
  <c r="K14" i="10"/>
  <c r="K17" i="1"/>
  <c r="K18" i="1" s="1"/>
  <c r="K19" i="1" s="1"/>
  <c r="G20" i="1"/>
  <c r="K15" i="1"/>
  <c r="J17" i="8"/>
  <c r="J16" i="8"/>
  <c r="J14" i="8"/>
  <c r="K14" i="8" s="1"/>
  <c r="J29" i="7"/>
  <c r="K28" i="7"/>
  <c r="K15" i="7"/>
  <c r="J27" i="7"/>
  <c r="J26" i="7"/>
  <c r="J25" i="7"/>
  <c r="G22" i="7"/>
  <c r="J22" i="7" s="1"/>
  <c r="J24" i="7"/>
  <c r="H23" i="7"/>
  <c r="J21" i="7"/>
  <c r="J20" i="7"/>
  <c r="H18" i="7"/>
  <c r="J19" i="7"/>
  <c r="G17" i="7"/>
  <c r="G18" i="7" s="1"/>
  <c r="J16" i="7"/>
  <c r="K16" i="7" s="1"/>
  <c r="J15" i="7"/>
  <c r="J14" i="7"/>
  <c r="K14" i="7" s="1"/>
  <c r="J18" i="6"/>
  <c r="K16" i="6"/>
  <c r="K17" i="6"/>
  <c r="K15" i="6"/>
  <c r="J16" i="6"/>
  <c r="G15" i="6"/>
  <c r="J15" i="6" s="1"/>
  <c r="J14" i="6"/>
  <c r="K14" i="6" s="1"/>
  <c r="K27" i="5"/>
  <c r="J28" i="5"/>
  <c r="J19" i="4"/>
  <c r="G19" i="4"/>
  <c r="D15" i="5"/>
  <c r="G15" i="5" s="1"/>
  <c r="J15" i="5" s="1"/>
  <c r="J22" i="5"/>
  <c r="J21" i="5"/>
  <c r="J20" i="5"/>
  <c r="H18" i="5"/>
  <c r="J19" i="5"/>
  <c r="G17" i="5"/>
  <c r="J17" i="5" s="1"/>
  <c r="J24" i="5"/>
  <c r="G23" i="5"/>
  <c r="J23" i="5" s="1"/>
  <c r="K15" i="10" l="1"/>
  <c r="K16" i="10" s="1"/>
  <c r="K17" i="10" s="1"/>
  <c r="K15" i="11"/>
  <c r="K17" i="11" s="1"/>
  <c r="K18" i="11" s="1"/>
  <c r="K19" i="11" s="1"/>
  <c r="K20" i="1"/>
  <c r="K21" i="1" s="1"/>
  <c r="K22" i="1" s="1"/>
  <c r="K23" i="1" s="1"/>
  <c r="K24" i="1" s="1"/>
  <c r="K25" i="1" s="1"/>
  <c r="K15" i="8"/>
  <c r="J18" i="7"/>
  <c r="G23" i="7"/>
  <c r="J23" i="7" s="1"/>
  <c r="J17" i="7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G18" i="5"/>
  <c r="J18" i="5" s="1"/>
  <c r="J14" i="5" l="1"/>
  <c r="K26" i="4"/>
  <c r="K25" i="4"/>
  <c r="K27" i="4"/>
  <c r="K28" i="4" s="1"/>
  <c r="K29" i="4" s="1"/>
  <c r="K30" i="4" s="1"/>
  <c r="K31" i="4" s="1"/>
  <c r="K32" i="4" s="1"/>
  <c r="K33" i="4" s="1"/>
  <c r="K34" i="4" s="1"/>
  <c r="K35" i="4" s="1"/>
  <c r="J36" i="4"/>
  <c r="J35" i="4"/>
  <c r="J34" i="4"/>
  <c r="J33" i="4"/>
  <c r="G32" i="4"/>
  <c r="J32" i="4"/>
  <c r="H32" i="4"/>
  <c r="G31" i="4"/>
  <c r="J31" i="4" s="1"/>
  <c r="G30" i="4"/>
  <c r="J30" i="4" s="1"/>
  <c r="J29" i="4"/>
  <c r="J28" i="4"/>
  <c r="J27" i="4"/>
  <c r="H26" i="4"/>
  <c r="G25" i="4"/>
  <c r="G26" i="4" s="1"/>
  <c r="J26" i="4" s="1"/>
  <c r="J24" i="4"/>
  <c r="J23" i="4"/>
  <c r="J22" i="4"/>
  <c r="J21" i="4"/>
  <c r="H20" i="4"/>
  <c r="G20" i="4"/>
  <c r="J17" i="4"/>
  <c r="J16" i="4"/>
  <c r="J15" i="4"/>
  <c r="J14" i="4"/>
  <c r="K14" i="4" s="1"/>
  <c r="J56" i="3"/>
  <c r="K55" i="3"/>
  <c r="J48" i="3"/>
  <c r="J54" i="3"/>
  <c r="J37" i="3"/>
  <c r="J31" i="3"/>
  <c r="J25" i="3"/>
  <c r="K14" i="3"/>
  <c r="J14" i="3" s="1"/>
  <c r="J17" i="3"/>
  <c r="H53" i="3"/>
  <c r="G52" i="3"/>
  <c r="G53" i="3" s="1"/>
  <c r="J51" i="3"/>
  <c r="J50" i="3"/>
  <c r="J49" i="3"/>
  <c r="J47" i="3"/>
  <c r="J46" i="3"/>
  <c r="J45" i="3"/>
  <c r="H44" i="3"/>
  <c r="G43" i="3"/>
  <c r="J43" i="3" s="1"/>
  <c r="G42" i="3"/>
  <c r="J42" i="3" s="1"/>
  <c r="G41" i="3"/>
  <c r="J40" i="3"/>
  <c r="J39" i="3"/>
  <c r="J38" i="3"/>
  <c r="H36" i="3"/>
  <c r="G35" i="3"/>
  <c r="J35" i="3" s="1"/>
  <c r="J34" i="3"/>
  <c r="J33" i="3"/>
  <c r="J32" i="3"/>
  <c r="H30" i="3"/>
  <c r="G29" i="3"/>
  <c r="G30" i="3" s="1"/>
  <c r="J28" i="3"/>
  <c r="J27" i="3"/>
  <c r="J26" i="3"/>
  <c r="H24" i="3"/>
  <c r="G23" i="3"/>
  <c r="J23" i="3" s="1"/>
  <c r="J20" i="3"/>
  <c r="J19" i="3"/>
  <c r="J18" i="3"/>
  <c r="H16" i="3"/>
  <c r="G15" i="3"/>
  <c r="G16" i="3" s="1"/>
  <c r="J22" i="3"/>
  <c r="J21" i="3"/>
  <c r="K42" i="2"/>
  <c r="J43" i="2"/>
  <c r="J18" i="2"/>
  <c r="J41" i="2"/>
  <c r="J40" i="2"/>
  <c r="J39" i="2"/>
  <c r="J38" i="2"/>
  <c r="H37" i="2"/>
  <c r="G36" i="2"/>
  <c r="J36" i="2" s="1"/>
  <c r="J34" i="2"/>
  <c r="J33" i="2"/>
  <c r="J32" i="2"/>
  <c r="J31" i="2"/>
  <c r="J30" i="2"/>
  <c r="J29" i="2"/>
  <c r="H28" i="2"/>
  <c r="G27" i="2"/>
  <c r="G28" i="2" s="1"/>
  <c r="H26" i="2"/>
  <c r="G25" i="2"/>
  <c r="G26" i="2" s="1"/>
  <c r="J24" i="2"/>
  <c r="J23" i="2"/>
  <c r="J22" i="2"/>
  <c r="J21" i="2"/>
  <c r="H20" i="2"/>
  <c r="G19" i="2"/>
  <c r="G20" i="2" s="1"/>
  <c r="J16" i="2"/>
  <c r="J17" i="2"/>
  <c r="H15" i="2"/>
  <c r="G14" i="2"/>
  <c r="J14" i="2" s="1"/>
  <c r="K14" i="5" l="1"/>
  <c r="K15" i="5" s="1"/>
  <c r="J25" i="4"/>
  <c r="J20" i="4"/>
  <c r="K15" i="4"/>
  <c r="K16" i="4" s="1"/>
  <c r="K17" i="4" s="1"/>
  <c r="K18" i="4" s="1"/>
  <c r="K19" i="4" s="1"/>
  <c r="K20" i="4" s="1"/>
  <c r="K21" i="4" s="1"/>
  <c r="K22" i="4" s="1"/>
  <c r="K23" i="4" s="1"/>
  <c r="K24" i="4" s="1"/>
  <c r="J15" i="3"/>
  <c r="J53" i="3"/>
  <c r="J52" i="3"/>
  <c r="K15" i="3"/>
  <c r="G44" i="3"/>
  <c r="J44" i="3" s="1"/>
  <c r="G36" i="3"/>
  <c r="J36" i="3" s="1"/>
  <c r="J30" i="3"/>
  <c r="J29" i="3"/>
  <c r="G24" i="3"/>
  <c r="J24" i="3" s="1"/>
  <c r="J16" i="3"/>
  <c r="J41" i="3"/>
  <c r="G37" i="2"/>
  <c r="J37" i="2" s="1"/>
  <c r="J27" i="2"/>
  <c r="J28" i="2"/>
  <c r="J26" i="2"/>
  <c r="J25" i="2"/>
  <c r="G15" i="2"/>
  <c r="J15" i="2" s="1"/>
  <c r="J20" i="2"/>
  <c r="J19" i="2"/>
  <c r="K16" i="5" l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16" i="3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14" i="2" l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</calcChain>
</file>

<file path=xl/sharedStrings.xml><?xml version="1.0" encoding="utf-8"?>
<sst xmlns="http://schemas.openxmlformats.org/spreadsheetml/2006/main" count="711" uniqueCount="130">
  <si>
    <t>CHUYÊN SẢN XUẤT: CỬA CUỐN CÔNG NGHỆ ÚC/ ĐỨC - CỬA MẮT VÕNG/ SONG NGANG</t>
  </si>
  <si>
    <r>
      <t xml:space="preserve">Văn phòng &amp; nhà xưởng: </t>
    </r>
    <r>
      <rPr>
        <i/>
        <sz val="12"/>
        <color rgb="FF000000"/>
        <rFont val="UTM"/>
      </rPr>
      <t>Số 12B đường số 2, P. Bình Hưng Hòa, Q. Bình Tân, TP.HCM</t>
    </r>
  </si>
  <si>
    <r>
      <t xml:space="preserve">Điện thoại: </t>
    </r>
    <r>
      <rPr>
        <i/>
        <sz val="12"/>
        <color rgb="FF000000"/>
        <rFont val="UTM"/>
      </rPr>
      <t>096 515 9595 - 0907 939 989</t>
    </r>
  </si>
  <si>
    <r>
      <t xml:space="preserve">Website: </t>
    </r>
    <r>
      <rPr>
        <i/>
        <sz val="12"/>
        <color rgb="FF000000"/>
        <rFont val="UTM"/>
      </rPr>
      <t>www.alumdoor.vn</t>
    </r>
  </si>
  <si>
    <t>Tên khách hàng:</t>
  </si>
  <si>
    <t>Số hóa đơn:</t>
  </si>
  <si>
    <t>Điện thoại:</t>
  </si>
  <si>
    <t xml:space="preserve">Số đơn đặt hàng: </t>
  </si>
  <si>
    <t>Địa chỉ giao hàng:</t>
  </si>
  <si>
    <t>Phụ trách bán hàng: Lê Thúy</t>
  </si>
  <si>
    <t>NGÀY GIAO HÀNG</t>
  </si>
  <si>
    <t>SẢN PHẨM &amp; QUY CÁCH</t>
  </si>
  <si>
    <t>CAO PHỦ BÌ (M)</t>
  </si>
  <si>
    <t>SỐ LƯỢNG</t>
  </si>
  <si>
    <t>KHỐI LƯỢNG</t>
  </si>
  <si>
    <t>ĐƠN GIÁ</t>
  </si>
  <si>
    <t>ĐVT</t>
  </si>
  <si>
    <t>THÀNH TIỀN</t>
  </si>
  <si>
    <t>● Ngân hàng TMCP Quân đội (MB Bank)</t>
  </si>
  <si>
    <t>Số TK 7030102681004 - Chủ TK LÊ MỘNG THUÝ</t>
  </si>
  <si>
    <t>Bên bán</t>
  </si>
  <si>
    <t xml:space="preserve">● Ngân hàng Techcombank </t>
  </si>
  <si>
    <t>CÔNG TY TNHH INTERNATIONAL ALUMINUM APPLICATION (IAA)</t>
  </si>
  <si>
    <t>Số TK 19034379719018 - Chủ TK LÊ MỘNG THUÝ</t>
  </si>
  <si>
    <t>● Ngân hàng ACB</t>
  </si>
  <si>
    <t>Số TK 8889886 - Chủ TK LÊ MỘNG THUÝ</t>
  </si>
  <si>
    <t>Cám ơn sự tin tưởng của khách hàng dành cho chúng tôi!</t>
  </si>
  <si>
    <t>TỔNG ĐƠN HÀNG</t>
  </si>
  <si>
    <t>CÒN LẠI</t>
  </si>
  <si>
    <t>M</t>
  </si>
  <si>
    <t>CTY SÁU HỒNG</t>
  </si>
  <si>
    <t>RỘNG PBRAY(M)</t>
  </si>
  <si>
    <t xml:space="preserve">Ngày giao hàng: </t>
  </si>
  <si>
    <t>Ngày đặt hàng: 18/2/2025</t>
  </si>
  <si>
    <t>TP.HCM, Ngày 18 tháng  02  năm 2025</t>
  </si>
  <si>
    <t>BẢNG BÁO GIÁ</t>
  </si>
  <si>
    <t>AL71</t>
  </si>
  <si>
    <t>RỘNG PB  NHỰA(M)</t>
  </si>
  <si>
    <t>M2</t>
  </si>
  <si>
    <t>CK 15%</t>
  </si>
  <si>
    <t>RAY HỘP TD</t>
  </si>
  <si>
    <t>PULY NHỎ</t>
  </si>
  <si>
    <t>CÁI</t>
  </si>
  <si>
    <t>BỘ TỰ DỪNG</t>
  </si>
  <si>
    <t>BỘ</t>
  </si>
  <si>
    <t>AL-VIPST500</t>
  </si>
  <si>
    <t>CON LĂN</t>
  </si>
  <si>
    <t>CẶP</t>
  </si>
  <si>
    <t>AL-548C</t>
  </si>
  <si>
    <t>AL-503N</t>
  </si>
  <si>
    <t>BỌ AL752</t>
  </si>
  <si>
    <t>CON</t>
  </si>
  <si>
    <t>VÂN CHUYỂN</t>
  </si>
  <si>
    <t>Thanh toán ACB</t>
  </si>
  <si>
    <t>CÔNG NỢ CŨ CÒN LẠI</t>
  </si>
  <si>
    <t>RAY HỘP 3M3 X 1 CẶP</t>
  </si>
  <si>
    <t xml:space="preserve">UPS E800i </t>
  </si>
  <si>
    <t>Vận chuyển</t>
  </si>
  <si>
    <t>chuyến</t>
  </si>
  <si>
    <t>AL503N - MS: GS</t>
  </si>
  <si>
    <t>AL70 CPB 3M83 X RPBR 3M76 GS TD</t>
  </si>
  <si>
    <t>AL70 CPB 3M83 X RPBR 4M05 GS TD</t>
  </si>
  <si>
    <t>AL70 CPB 3M35 X RPBR 5M05 GS TD</t>
  </si>
  <si>
    <t>RAY HỘP 3M8 X 2 CẶP</t>
  </si>
  <si>
    <t>PULY LỚN X 17 CÁI</t>
  </si>
  <si>
    <t>CON LĂN X 3 CẶP</t>
  </si>
  <si>
    <t xml:space="preserve">MOTOR AC 600KG X 1 BỘ </t>
  </si>
  <si>
    <t>BÌNH LƯU ĐIỆN E800I X 1 BỘ</t>
  </si>
  <si>
    <t>AL503N CPB 3M4 X RPBR 2M98 GS TD</t>
  </si>
  <si>
    <t>AL70 - MS:GS</t>
  </si>
  <si>
    <t>PULY LỚN</t>
  </si>
  <si>
    <t>MOTOR AC600KG</t>
  </si>
  <si>
    <t>THANH TOÁN</t>
  </si>
  <si>
    <t>THU HỒI TỰ DỪNG</t>
  </si>
  <si>
    <t>PHÍ THU HỒI</t>
  </si>
  <si>
    <t>VẬN CHUYỂN</t>
  </si>
  <si>
    <t>THU HỒI CỬA (25/4)</t>
  </si>
  <si>
    <t>AL501N - MS:GS</t>
  </si>
  <si>
    <t xml:space="preserve">PULY NHỎ </t>
  </si>
  <si>
    <t>VIP50 - MS:GS</t>
  </si>
  <si>
    <t>RAY HỘP TD U100</t>
  </si>
  <si>
    <t>AL652 - MS:GS</t>
  </si>
  <si>
    <t>RAY SẮT (KHÔNG LẤY)</t>
  </si>
  <si>
    <t>CỬA ÚC MTN 4.6D GU-VK</t>
  </si>
  <si>
    <t xml:space="preserve">TIỀN CHÀNH LẤY LẠI BỘ CỬA </t>
  </si>
  <si>
    <t>SƠN LẠI BỘ CỬA</t>
  </si>
  <si>
    <t>AL548N</t>
  </si>
  <si>
    <t>AL501 (ĐỔI LÁ)</t>
  </si>
  <si>
    <t xml:space="preserve">HỖ TRỢ </t>
  </si>
  <si>
    <t>THANH TOÁN ACB</t>
  </si>
  <si>
    <t>AL70 (KÉO TAY) - MS: GS</t>
  </si>
  <si>
    <t>KHÓA NGANG</t>
  </si>
  <si>
    <t>BẢNG TÍNH TIỀN</t>
  </si>
  <si>
    <t xml:space="preserve">THANH TOÁN </t>
  </si>
  <si>
    <t>RAY ĐƠN (BỘ AL70)</t>
  </si>
  <si>
    <t>VÍT ĐẦU LÔ X 10KG</t>
  </si>
  <si>
    <t>KG</t>
  </si>
  <si>
    <t>AL503 MS: GS</t>
  </si>
  <si>
    <t xml:space="preserve">PULY LỚN </t>
  </si>
  <si>
    <t>AL548 CPB 2M4 X RPBR 2M6 GS TD</t>
  </si>
  <si>
    <t xml:space="preserve">Ngày đặt hàng: </t>
  </si>
  <si>
    <t>TP.HCM, Ngày 18 tháng  07  năm 2025</t>
  </si>
  <si>
    <t>TI INOX 6M</t>
  </si>
  <si>
    <t>CÂY</t>
  </si>
  <si>
    <t>VẬN CHUYỂN XE ÔM</t>
  </si>
  <si>
    <t>CHUYẾN</t>
  </si>
  <si>
    <t>AL503N MS: VK</t>
  </si>
  <si>
    <t xml:space="preserve">RAY HỘP TD </t>
  </si>
  <si>
    <t xml:space="preserve">CON LĂN </t>
  </si>
  <si>
    <r>
      <t xml:space="preserve">CỬA LƯỚI MV INOX 304 (RAY U80) - CL1 (TRỌN BỘ)
</t>
    </r>
    <r>
      <rPr>
        <b/>
        <sz val="12"/>
        <color rgb="FFFF0000"/>
        <rFont val="UTM"/>
      </rPr>
      <t>Thương hiệu Alumdoor, Ống phi 12.7mm dày 1.0</t>
    </r>
    <r>
      <rPr>
        <b/>
        <sz val="12"/>
        <color theme="1"/>
        <rFont val="UTM"/>
      </rPr>
      <t xml:space="preserve"> </t>
    </r>
  </si>
  <si>
    <r>
      <t xml:space="preserve">CỬA LƯỚI MV INOX 304 (RAY U80) - CL3 (TRỌN BỘ)
</t>
    </r>
    <r>
      <rPr>
        <b/>
        <sz val="12"/>
        <color rgb="FFFF0000"/>
        <rFont val="UTM"/>
      </rPr>
      <t xml:space="preserve">Thương hiệu Alumdoor, Ống phi 12.7mm dày 1.0 </t>
    </r>
  </si>
  <si>
    <r>
      <t xml:space="preserve">CỬA LƯỚI MV INOX 304 (RAY U80) - CL6 (TRỌN BỘ)
</t>
    </r>
    <r>
      <rPr>
        <b/>
        <sz val="12"/>
        <color rgb="FFFF0000"/>
        <rFont val="UTM"/>
      </rPr>
      <t xml:space="preserve">Thương hiệu Alumdoor, Ống phi 12.7mm dày 1.0 </t>
    </r>
  </si>
  <si>
    <r>
      <t xml:space="preserve">CỬA LƯỚI MV INOX 304 (RAY U80) - CL5 (TRỌN BỘ)
</t>
    </r>
    <r>
      <rPr>
        <b/>
        <sz val="12"/>
        <color rgb="FFFF0000"/>
        <rFont val="UTM"/>
      </rPr>
      <t xml:space="preserve">Thương hiệu Alumdoor, Ống phi 12.7mm dày 1.0 </t>
    </r>
  </si>
  <si>
    <t>TP.HCM, Ngày 06 tháng  10  năm 2025</t>
  </si>
  <si>
    <r>
      <t xml:space="preserve">CỬA LƯỚI MV INOX 304 (RAY U100 - TRỤC 140) - CL2 +CL4 (TRỌN BỘ)
</t>
    </r>
    <r>
      <rPr>
        <b/>
        <sz val="12"/>
        <color rgb="FFFF0000"/>
        <rFont val="UTM"/>
      </rPr>
      <t xml:space="preserve">Thương hiệu Alumdoor, Ống phi 12.7mm dày 1.0 </t>
    </r>
  </si>
  <si>
    <r>
      <t xml:space="preserve">AL501N- MS: </t>
    </r>
    <r>
      <rPr>
        <b/>
        <sz val="12"/>
        <color rgb="FFFF0000"/>
        <rFont val="UTM"/>
      </rPr>
      <t>"chưa có"</t>
    </r>
    <r>
      <rPr>
        <b/>
        <sz val="12"/>
        <rFont val="UTM"/>
      </rPr>
      <t xml:space="preserve">
</t>
    </r>
    <r>
      <rPr>
        <b/>
        <sz val="12"/>
        <color rgb="FFFF0000"/>
        <rFont val="UTM"/>
      </rPr>
      <t>Cửa Đức Alumdoor Độ dày 1.0-1.3mm,
 2 vis - 2 ron giảm chấn</t>
    </r>
  </si>
  <si>
    <t>TRỤC 114</t>
  </si>
  <si>
    <t>AL652 - MS: "BÁO SAU"</t>
  </si>
  <si>
    <t>TRỤC 140</t>
  </si>
  <si>
    <t>PULY 140</t>
  </si>
  <si>
    <t xml:space="preserve">Phụ trách bán hàng: </t>
  </si>
  <si>
    <t>ANH BẢO</t>
  </si>
  <si>
    <t>MOTOR AC 800KG</t>
  </si>
  <si>
    <t>CÔNG TY TNHH HƯNG DƯƠNG PHÁT</t>
  </si>
  <si>
    <t>TP.HCM, Ngày 18  tháng  10  năm 2025</t>
  </si>
  <si>
    <t xml:space="preserve">BÌNH LƯU ĐIỆN </t>
  </si>
  <si>
    <t>AL50 - MS: "BÁO SAU"</t>
  </si>
  <si>
    <t>RỘNG NHỰA (M)</t>
  </si>
  <si>
    <t>PULY 114 LỚN</t>
  </si>
  <si>
    <t>AL548N - MS: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</si>
</sst>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.00\ [$đ-42A]"/>
    <numFmt numFmtId="165" formatCode="[$-1010000]d/m/yyyy;@"/>
    <numFmt numFmtId="166" formatCode="#,##0[$ ₫]"/>
  </numFmts>
  <fonts count="30">
    <font>
      <sz val="11"/>
      <color theme="1"/>
      <name val="Calibri"/>
      <family val="2"/>
      <scheme val="minor"/>
    </font>
    <font>
      <sz val="10"/>
      <color theme="1"/>
      <name val="UTM"/>
    </font>
    <font>
      <b/>
      <sz val="20"/>
      <color rgb="FFEF5A26"/>
      <name val="UTM"/>
    </font>
    <font>
      <sz val="11"/>
      <color theme="1"/>
      <name val="UTM"/>
    </font>
    <font>
      <b/>
      <u/>
      <sz val="13"/>
      <color theme="5"/>
      <name val="UTM"/>
    </font>
    <font>
      <b/>
      <u/>
      <sz val="12"/>
      <color rgb="FF000000"/>
      <name val="UTM"/>
    </font>
    <font>
      <b/>
      <sz val="12"/>
      <color rgb="FF000000"/>
      <name val="UTM"/>
    </font>
    <font>
      <i/>
      <sz val="12"/>
      <color rgb="FF000000"/>
      <name val="UTM"/>
    </font>
    <font>
      <b/>
      <sz val="26"/>
      <color rgb="FFEF5A26"/>
      <name val="UTM"/>
    </font>
    <font>
      <b/>
      <sz val="12"/>
      <color rgb="FF434343"/>
      <name val="UTM"/>
    </font>
    <font>
      <sz val="12"/>
      <color rgb="FF666666"/>
      <name val="UTM"/>
    </font>
    <font>
      <b/>
      <sz val="12"/>
      <color theme="1"/>
      <name val="UTM"/>
    </font>
    <font>
      <b/>
      <sz val="13"/>
      <color theme="1"/>
      <name val="UTM"/>
    </font>
    <font>
      <b/>
      <sz val="13"/>
      <name val="UTM"/>
    </font>
    <font>
      <b/>
      <sz val="12"/>
      <name val="UTM"/>
    </font>
    <font>
      <sz val="10"/>
      <name val="Arial"/>
      <family val="2"/>
    </font>
    <font>
      <b/>
      <sz val="14"/>
      <color theme="1"/>
      <name val="UTM"/>
    </font>
    <font>
      <sz val="12"/>
      <color rgb="FF000000"/>
      <name val="UTM"/>
    </font>
    <font>
      <b/>
      <sz val="12"/>
      <color rgb="FF2A3990"/>
      <name val="UTM"/>
    </font>
    <font>
      <sz val="13"/>
      <color theme="1"/>
      <name val="UTM"/>
    </font>
    <font>
      <sz val="12"/>
      <color theme="1"/>
      <name val="UTM"/>
    </font>
    <font>
      <b/>
      <sz val="20"/>
      <color rgb="FFE01B84"/>
      <name val="UTM"/>
    </font>
    <font>
      <sz val="10"/>
      <name val="UTM"/>
    </font>
    <font>
      <b/>
      <i/>
      <sz val="16"/>
      <color theme="5"/>
      <name val="UTM"/>
    </font>
    <font>
      <sz val="11"/>
      <color rgb="FF081B3A"/>
      <name val="Segoe UI"/>
      <family val="2"/>
    </font>
    <font>
      <b/>
      <sz val="12"/>
      <color rgb="FFFF0000"/>
      <name val="UTM"/>
    </font>
    <font>
      <sz val="11"/>
      <name val="Times New Roman"/>
      <family val="1"/>
    </font>
    <font>
      <sz val="11"/>
      <color rgb="FFFF0000"/>
      <name val="Arial"/>
      <family val="2"/>
    </font>
    <font>
      <sz val="13"/>
      <color theme="1"/>
      <name val="UTM Avo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</fills>
  <borders count="3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05A28"/>
      </bottom>
      <diagonal/>
    </border>
    <border>
      <left/>
      <right/>
      <top/>
      <bottom style="thin">
        <color rgb="FFF05A2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5" fillId="0" borderId="0"/>
    <xf numFmtId="41" fontId="29" fillId="0" borderId="0" applyFont="0" applyFill="0" applyBorder="0" applyAlignment="0" applyProtection="0"/>
  </cellStyleXfs>
  <cellXfs count="134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2" fontId="11" fillId="3" borderId="11" xfId="0" applyNumberFormat="1" applyFont="1" applyFill="1" applyBorder="1" applyAlignment="1">
      <alignment horizontal="center" vertical="center"/>
    </xf>
    <xf numFmtId="3" fontId="11" fillId="3" borderId="11" xfId="0" applyNumberFormat="1" applyFont="1" applyFill="1" applyBorder="1" applyAlignment="1">
      <alignment horizontal="center" vertical="center"/>
    </xf>
    <xf numFmtId="166" fontId="11" fillId="3" borderId="11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2" fontId="14" fillId="3" borderId="11" xfId="0" applyNumberFormat="1" applyFont="1" applyFill="1" applyBorder="1" applyAlignment="1">
      <alignment horizontal="center" vertical="center"/>
    </xf>
    <xf numFmtId="3" fontId="14" fillId="3" borderId="11" xfId="0" applyNumberFormat="1" applyFont="1" applyFill="1" applyBorder="1" applyAlignment="1">
      <alignment horizontal="center" vertical="center"/>
    </xf>
    <xf numFmtId="166" fontId="14" fillId="3" borderId="11" xfId="0" applyNumberFormat="1" applyFont="1" applyFill="1" applyBorder="1" applyAlignment="1">
      <alignment horizontal="center" vertical="center"/>
    </xf>
    <xf numFmtId="3" fontId="13" fillId="3" borderId="11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66" fontId="6" fillId="0" borderId="14" xfId="0" applyNumberFormat="1" applyFont="1" applyBorder="1" applyAlignment="1">
      <alignment horizontal="right" vertical="center"/>
    </xf>
    <xf numFmtId="0" fontId="17" fillId="0" borderId="15" xfId="0" applyFont="1" applyBorder="1" applyAlignment="1">
      <alignment vertical="center"/>
    </xf>
    <xf numFmtId="2" fontId="19" fillId="0" borderId="15" xfId="0" applyNumberFormat="1" applyFont="1" applyBorder="1"/>
    <xf numFmtId="0" fontId="19" fillId="0" borderId="15" xfId="0" applyFont="1" applyBorder="1" applyAlignment="1">
      <alignment vertical="top"/>
    </xf>
    <xf numFmtId="0" fontId="3" fillId="0" borderId="15" xfId="0" applyFont="1" applyBorder="1"/>
    <xf numFmtId="2" fontId="19" fillId="0" borderId="15" xfId="0" applyNumberFormat="1" applyFont="1" applyBorder="1" applyAlignment="1">
      <alignment vertical="top"/>
    </xf>
    <xf numFmtId="1" fontId="12" fillId="0" borderId="15" xfId="0" applyNumberFormat="1" applyFont="1" applyBorder="1"/>
    <xf numFmtId="2" fontId="12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center"/>
    </xf>
    <xf numFmtId="166" fontId="21" fillId="0" borderId="15" xfId="0" applyNumberFormat="1" applyFont="1" applyBorder="1" applyAlignment="1">
      <alignment vertical="center"/>
    </xf>
    <xf numFmtId="0" fontId="22" fillId="0" borderId="15" xfId="0" applyFont="1" applyBorder="1"/>
    <xf numFmtId="1" fontId="19" fillId="0" borderId="15" xfId="0" applyNumberFormat="1" applyFont="1" applyBorder="1"/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23" fillId="3" borderId="19" xfId="0" applyFont="1" applyFill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4" fillId="0" borderId="0" xfId="0" applyFont="1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5" fillId="3" borderId="10" xfId="0" applyFont="1" applyFill="1" applyBorder="1" applyAlignment="1">
      <alignment vertical="center"/>
    </xf>
    <xf numFmtId="0" fontId="25" fillId="3" borderId="11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2" fontId="25" fillId="3" borderId="11" xfId="0" applyNumberFormat="1" applyFont="1" applyFill="1" applyBorder="1" applyAlignment="1">
      <alignment horizontal="center" vertical="center"/>
    </xf>
    <xf numFmtId="3" fontId="25" fillId="3" borderId="11" xfId="0" applyNumberFormat="1" applyFont="1" applyFill="1" applyBorder="1" applyAlignment="1">
      <alignment horizontal="center" vertical="center"/>
    </xf>
    <xf numFmtId="166" fontId="25" fillId="3" borderId="11" xfId="0" applyNumberFormat="1" applyFont="1" applyFill="1" applyBorder="1" applyAlignment="1">
      <alignment horizontal="center" vertical="center"/>
    </xf>
    <xf numFmtId="0" fontId="26" fillId="0" borderId="23" xfId="0" applyFont="1" applyBorder="1" applyAlignment="1">
      <alignment horizontal="left"/>
    </xf>
    <xf numFmtId="0" fontId="27" fillId="0" borderId="9" xfId="0" applyFont="1" applyBorder="1" applyAlignment="1">
      <alignment horizontal="left"/>
    </xf>
    <xf numFmtId="0" fontId="28" fillId="0" borderId="2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41" fontId="1" fillId="0" borderId="3" xfId="2" applyFont="1" applyBorder="1" applyAlignment="1">
      <alignment vertical="center"/>
    </xf>
    <xf numFmtId="165" fontId="12" fillId="0" borderId="11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left"/>
    </xf>
    <xf numFmtId="0" fontId="26" fillId="0" borderId="23" xfId="0" applyFont="1" applyBorder="1" applyAlignment="1">
      <alignment horizontal="left" wrapText="1"/>
    </xf>
    <xf numFmtId="0" fontId="28" fillId="0" borderId="0" xfId="0" applyFont="1" applyBorder="1" applyAlignment="1">
      <alignment vertical="center" wrapText="1"/>
    </xf>
    <xf numFmtId="3" fontId="25" fillId="3" borderId="24" xfId="0" applyNumberFormat="1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65" fontId="12" fillId="0" borderId="1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25" fillId="3" borderId="9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65" fontId="12" fillId="0" borderId="11" xfId="0" applyNumberFormat="1" applyFont="1" applyBorder="1" applyAlignment="1">
      <alignment horizontal="center" vertical="center"/>
    </xf>
    <xf numFmtId="0" fontId="25" fillId="3" borderId="1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65" fontId="12" fillId="0" borderId="1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5" fontId="12" fillId="0" borderId="9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4" fillId="3" borderId="10" xfId="0" applyFont="1" applyFill="1" applyBorder="1" applyAlignment="1">
      <alignment vertical="center" wrapText="1"/>
    </xf>
    <xf numFmtId="0" fontId="11" fillId="3" borderId="10" xfId="0" applyFont="1" applyFill="1" applyBorder="1" applyAlignment="1">
      <alignment vertical="center" wrapText="1"/>
    </xf>
    <xf numFmtId="0" fontId="25" fillId="3" borderId="10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2" fontId="12" fillId="0" borderId="29" xfId="0" applyNumberFormat="1" applyFont="1" applyBorder="1" applyAlignment="1">
      <alignment vertical="top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14" fontId="16" fillId="0" borderId="11" xfId="1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top"/>
    </xf>
    <xf numFmtId="2" fontId="12" fillId="0" borderId="30" xfId="0" applyNumberFormat="1" applyFont="1" applyBorder="1" applyAlignment="1">
      <alignment horizontal="center" vertical="top"/>
    </xf>
    <xf numFmtId="165" fontId="12" fillId="0" borderId="9" xfId="0" applyNumberFormat="1" applyFont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0" fontId="25" fillId="3" borderId="27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 2 4" xfId="1" xr:uid="{E2FAA183-04B4-4381-BEAC-7DB2332E3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EB43736C-7E06-4B9C-953E-FCF6CBC96F3F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EEB3D44F-78F5-4E3A-ADD1-A3AAA02F7FF2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4BDE90F-4A3D-4F84-A13F-AA4E2710FDD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A0F8AAF8-2A3B-4BA8-B0A6-1FC6866DA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BEF638F3-BF2D-47BD-AD19-BB4C86AB929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A088F0F-E5B1-4037-9BDC-B739C052CA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550C4C3B-CDE7-4E9B-83A9-8AFBF81F1EB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CF1D7C39-E086-4801-B542-5B3AE0E757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3429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114300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0FF00178-E70E-4797-9189-35D18E7981C2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114300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A3BD01B-B320-4CFC-8233-7F2FF91EC160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114300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32A225D-F057-45F3-85EC-0E322F9CCB69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A1A0D17C-A06D-42E6-AA9C-E4D800B062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114300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518E14E3-E729-4989-8C29-B38588ACC6C9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114300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572CD046-2BFE-4F22-9D75-B9FFF9A60DD2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114300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3B53677-11EE-4124-9D04-86B702EBFA0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E5201809-D2DF-4DE1-83F4-F8AD2AAB95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5A2EE33A-3BD8-453F-8F26-4F125E3DAF81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84B4FD03-CFB0-4F78-8763-6BC40548FA10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0E71FD1-2BB3-4025-AFBD-64195882AD8D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8C3D30FD-C778-41D0-9A85-0A16CD1AB1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07C85DDE-F3FA-49D7-A622-3718DCC0D9D4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C99F5D59-46B7-47FD-A20B-F8B978E2ACA4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34CADEBE-24B7-4B94-9570-5EEE162CBBB4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6D0543E4-2914-4B81-902D-559D130681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18397081-8615-4522-AC2B-4E4BE0959D2D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2C1972F-36D7-418A-ADBA-B3E9CC0973F0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133350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AE3A0030-94C1-4BB8-987D-286838B6F9F3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B0D123EF-29BB-42C6-88A1-C2AFC97BC6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E0AE8D72-6A76-4960-B557-EF76CAB5564F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E33FE827-10E0-436F-AFB5-783823B1894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E00E89F-1C77-4A47-B708-46ADB9F42B7B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E92A423B-0F0E-4B18-AD7F-D0FE2FEDA9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410F4497-E97B-4281-8897-B92017049D9D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B21C1F1E-5395-4DBC-B120-A2CE0D7B9731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9DE884A8-FE65-4B66-8CD8-F050AFC785A8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3C3EE10E-8A38-4907-B268-17716F159A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72F8A4B8-7B21-4574-85A6-05CDA23D7741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4B1BD5D9-5AFE-4FCD-B542-843696A6B291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152400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3F479E3E-55C4-4D31-BF18-784E9CFA5CD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408C489D-98FD-4FF2-9F8D-39EC673782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5D8272F-CC4B-443A-BF54-1D8B7CA5EF63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A4D1440C-527A-4F29-A29C-058BDD876B04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C7DEC19B-D911-429E-BE72-E6CC44FF246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7864AFDE-51DF-4328-B41D-7D1C2F69C3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D7D6BD74-E624-4582-AB2C-B1D9904E7A6D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B771EE70-0864-4F03-889F-647FE543A078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2</xdr:row>
      <xdr:rowOff>171450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344DFC0A-78B2-414F-8834-ED8048FD4BF1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F935E7DE-9507-41C0-83AE-F1EE0864E1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28575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3E2EE84F-017F-4FDC-A9C7-BE120D66E3C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28575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899255C3-2D28-470E-8602-B941143816E8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28575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AD9F43C-79C4-42F2-8C4A-B62F4BD3CAC6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2FE4F366-0C6C-4F77-B845-4F7745DAD3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0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BB92D41-33B9-401C-8C75-2A16363DACBB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0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AAD5C92-A7B8-4210-B97E-42A989FD0AF2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0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0471FB81-B440-4ABC-AC87-0248CF4B5D99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CAB86870-2658-4AE2-A5CF-963B180948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57150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FFCD88BD-C699-404D-8079-DB0BD08D74CB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57150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919A8F1-3F15-426C-950D-EA30CDFB81E7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57150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1568BADE-007B-475A-9F7F-958ACE696C9A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12CA6338-A0B1-4364-8AC0-B4D95A547D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28575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23A8E463-4C3C-4800-B42C-65E15C704075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28575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EAD36E0D-9D50-44D8-AC3A-67BC02F2D1FF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28575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66D4DD8B-53B2-4134-8CDD-70DDCAD8D353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2C72D636-8256-4CD3-8653-533E28DBFD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85725</xdr:rowOff>
    </xdr:to>
    <xdr:sp macro="" textlink="">
      <xdr:nvSpPr>
        <xdr:cNvPr id="2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84DFE263-D7F0-4A79-AE1B-E79ED8FB22CD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85725</xdr:rowOff>
    </xdr:to>
    <xdr:sp macro="" textlink="">
      <xdr:nvSpPr>
        <xdr:cNvPr id="3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AAAA9D2D-50F8-4F73-A5A5-4E5665AA1668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85725</xdr:rowOff>
    </xdr:to>
    <xdr:sp macro="" textlink="">
      <xdr:nvSpPr>
        <xdr:cNvPr id="4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D4BA722C-2E11-48BE-9ED9-1E95E6606F35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9277FBE8-3691-47EE-A5D9-7D11C6C5F3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57150</xdr:rowOff>
    </xdr:to>
    <xdr:sp macro="" textlink="">
      <xdr:nvSpPr>
        <xdr:cNvPr id="6" name="AutoShape 1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D91D8CA5-E449-4670-A7A9-F5579D02E1BD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57150</xdr:rowOff>
    </xdr:to>
    <xdr:sp macro="" textlink="">
      <xdr:nvSpPr>
        <xdr:cNvPr id="7" name="AutoShape 2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443B62E6-52F8-4869-9296-7463C43705B3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57150</xdr:rowOff>
    </xdr:to>
    <xdr:sp macro="" textlink="">
      <xdr:nvSpPr>
        <xdr:cNvPr id="8" name="AutoShape 3" descr="data:image/png;base64,iVBORw0KGgoAAAANSUhEUgAAAkMAAABUCAYAAACBdTORAAAAAXNSR0IArs4c6QAAIABJREFUeF7tXQd4U9X7fpO0STpYIijIEBAUFVEEGSJ7yoYCBUqBllV2ZYNsyiqrZQ+VPWSPoiCC/hUFERFUQOYPZAiy26Yr4/98p6Q0bdKem9yMtud7Hp9ic853znnvbe57v6kwmUwmCBEICAQEAgIBgYBAQCCQRxFQCDKUR6+8OLZAQCAgEBAICAQEAgwBQYbEjSAQEAgIBAQCAgGBQJ5GQJChPH35xeEFAgIBgYBAQCCQexCIi4vDDz/8gAsXziMlJQX+/v54553KqF69Ory9vW0eVJCh3HMPiJMIBAQCAgGBgEAgTyKQlJSEmJj9iIqKQmJiIooWLQqtVounT5/i4cOHKFmyJMLDP8GHH34IpVKZCSNBhvLkbSMOLRAQCAgEBAICgdyBgNFoxNixY3HkyLcoVaoU5s9fgNKlS6cdjixFU6dOwZMnTxARMQONGjWCQqGwOLwgQ7njXhCnEAgIBAQCAgGBQJ5EYNWqlVi5ciUGDBiA7t2D4eXllQmH+Ph4jB49CidPnsTMmbPQoEEDQYby5N0iDi0QEAgIBAQCAoFchgCRnBYtPkalSpWwaNFidroTJ47j1q3b7N8lSpTA+++/D5VKxdxnbdq0Rv78+bFt23ZBhnLZvSCOIxAQCAgEBAICgTyJAFmEyDK0YcNGvP766wwDsgB99913zEKUnJyMgQMHomfPXuyzTZs2YsGCBVixYiWqVKmShplwk+XJ20ccWiAgEBAICAQEAjkfgR49glmQ9K5du9MOQ2To6tVr2LhxI9q1a8sCqXfs2Jn2ebVqVREWFoaQkFBBhnL+LSBOIBAQCAgEBAICgbyNAJEhPz9/LF261IIMnT17Fh06dMDatWvRqlVrjBo1Ku3zJk0aIzAwUJChvH3riNMLBAQCAgGBgEAgdyBAZIjS6rds2WpBho4cOcL+/5133sGcOZEoXLgw+3+qPVS79ofo16+fIEO54xYQpxAICAQEAgIBgUDeRiA6Ogrr16/HgQNfoUiRIgwMcpNdunQJPj4+uHjxItasWYO33nqbfbZnz25Mnz6dBVvXqFEjDTwRM5S37yNxeoGAQEAgIBAQCORYBO7du8eyyah2EKXMkyxfvgy3b9/GmDFjMWbMaBQsWAhTp05lVqEOHdpDrzcgJibGotaQBRlKWDoGJl2sVVCULxaDNngsoFRl+pwKHlHVxxs3buRYQOXYuEqlxPTpESxYS4hAQCAgEBAICAQEAs5HYObMGdi/fz/Cw8MRENDR6oIGgwHTpk3DgQMxmDRpMlq0aGExzoIMxQ6oC9OTBzZ3rm4eDG2X4YAqMyEin12fPn1w/vw555/cQ1egNL7Dh7+Fn5+fh+5QbEsgIBAQCAgEBAK5CwHqRzZu3DhWX4gCo9u0aYuyZcuyQ5I16OzZMyyz7NixY+jSpSsGDx7M6g6lF0lkiCaqmwZB230UoMjc24MKGoWEhODSpYu5C2nO0+QoMmQ0wpSSaPVkCrXW6vXlhMH+YQY9TPpkm/MVKm/Ay3ajPfsXlmmm0QBTSpLt/XtrrFpWZVrdMTUmE0zJdD+YrN8TSi/AW+3YGrlkNsPJZEw7jULjC7KO0wuhu4U6DGi1Pu7ehsX6CQkJTtsPfedm1XzTaQtbUUzPP5PJ+t+Po/ugXloajcZRNWy+M/fpyAYpvscRoXpC48ePx/HjP7Mz5suXD8WLF8eVK1eg1+tRoEABdO/enVWozrY3WXaWIbZRhQLqj9pA23ca+3dGiY2NRVBQEG7fvuXIuXLk3JxAhvSXzyB5azQM//wNGAzWcVZ5QflyKahb9IR3tcYuuxYp/7cbietn215PqYSqdEX4DJ4LRb6CLtsX70L609+DXM02RamCqlQFaIJGQVX6DV61Th1nin+CxI1zof/tO8Cgt7mWV/Um8Ok9BUkH1iJ532qH9qTQ+sOrcm1oOg2BwjefQ7rsnWy49DuSdq+E4do5wGTj78CWcvq7SffQy7fqZ1Aa79ChQ+3djmzz6CtZpfJiX81UgI7ejt9/vyo++OADp7vv6WF04sQJhsW1a1fZT5KUFNv3laMHVyoVaW/4b775JipUqIB69eqjYsWKmXpPObqWeT49WOlsv/zyCy5fvpR2Tvq9k7gQu57mFhOvv/4GXnutHOrWrQc6s1ot7SWlc+dOuHfvP7ngkE2Pt3dqCw26V6tXr8FigOwhSMRBjh49gu+//x6PHz9GyZKl0LhxI7z3XhX4+vra3K9kyxDTpFRB3agztN1HW33TpQ6xvXr1ynOEyJPJkPHBv0hcOQH6P4/bfPu3dpcoi5aApvMweNdoJttNb0tR8pFtSPxsSvbrqLzgGx4Fr/fqZj/WhSP0v34L3QKOB6KXGtrgMVA37OTC3WVeyvjPJcTPCIXp6cNs96Fu2Yu5yJN2L0fSttSS9w6Lygvqhh2hDRoNqDL3EnJYvxUFZNVJiBwI/bkTsqnPv/FPnD59Gn379pFNp9yKyCVAb8llypRB06bNUL9+fVksKmfOkPthA3v7poBVIgSeIPRdTGelCsNUY8ZcmdjevV2+fBnr16/DhQsXcPPmTVbV2BOEiBB1Y69Y8U107NiRkaPspGXLFrh79252w9z+OV3DcuXKoWHDRujSpYvTybx9ZOgZTJo2faEJGGiVEJGZiggRMee8Ip5KhkyP7kE3fzAMV/+y+1L49I+A90dt7J7PM5GbDJGBslBR+M+LgULjmGmVZ1+8Y7jJ0DOF+ZZ+B0WBF3nVyzvOYEDc2HYw3rrKpZeSJ9RNu8lLhp6trO3yCdQtQ7j24dCglCTET+oGw/ULDqnJODknkKGMeyZi1K1bN7Ru3cauhwyRv6VLl+D333+XFUtnKCMi2KxZM4SG9mbEQYpQyAe1e6DWDjlB6tSpgz59+uKNN2xbnnMKGUqPN5GiUaNGW7TPkPt6OESGaDOaVqHMcmDNZUaEqHv3IPzvf/+Te98eqc9TyZAuohf05046jJnvxLXwev19h/XYUiCFDJEO31HLmbvFU0QqGfIdtxpebz2vc+HKc5gS4hA3qAFMiTquZZ1JhigOLF/0YSgKpBZFc5boT/8fdHMHyK4+J5IhMwjUxJJ6NFF9FoWVsIeMYFFGzq5duxAZOYfFSeU0mTdvPogw8EhMzH5ERESwANycJpRG3rz5x1a3nRPJEB2ESO2CBQtZbSCee1XqNXOYDEGphLphZ2h7jre69qNHjxAcHIx//70jdW85brwnkqHkw1uRuCbCIuDTXmCVxcvAP3KfvdOznSeVDGlDJ0HdwHoaZbaLOWGAZDIUHg2vqg2csJPsVZriHiM2rC5g5IuXcSoZAuD9QWP4DF2Q/cbtHGFKSkBcWB3QT7klJ5MhwoJKgURFRXO9dX/xxecWbQ/kxtLZ+ijYevjw4ejQISDLpQ4dOohJkyZ5jNtPKi5EHCh2d9CgwZmm5lQyZCZEn3/+BZc7UCpmjpMhWlGpgqZFT2g6DQWRo4xCRZHIZXbvnuf7KaUCmH68p5Eh09NHiB3SCMgiw0nqedXt+kMbMEjqNK7xkslQyARGxD1FchQZonsj7CNu6JxNhsgqlG/p99z7kTpQ//v/QRcpv1WI9pHTyRCdwdfXD/PmzUXVqtVsQrtnzx5Mnz5NKvQeN55Kn1Drhpdfftnq3n777RRr1ZDThawnS5YsRbVqltc0J5MhuiavvPIKNm7cJHsJG3nI0LO7hsgQuc2sESJKrwwO7p6rXWaeRoaS9n2GpC0yv2070aUhyJDrvn4ZUfYgMkQn9wmPgnfVhk4BIWHJaKT8FOMU3bmBDJkfMuvWrUf+/Pkz4UQZOpSF9N9/npeFZM9FffnlYti+fXumdHV6TnXq1BH//vuvPWo9bg7146Jz+vs/z9rM6WSIQKamqx07ypuAIisZok1qOgyEpl0/q3Vq6EYLDOzMsg5yo3gSGTL+dwtxw5o6BWZNqxBoAj+RXbcgQ7JDalOhJ5IhSrPPt/Inq/GHjiBD8VGxvZ0Xm5VbyBBh3KRJE0REzMgE9+zZs7F9+zZHLoPHzaVYKco2Sy90RjprbhJyCwYGdkk7Um4gQ9RnjPqNySmykyGqTu1dvSl8BtINlbkOUW52mXkSGUrcsgDJ+z6T8155rkvlBf+ZO6F8JbXCp1wiyJBcSGavxxPJEH1f+M/bD+XLpbM/gIQRyfu/QOLmeRJmSBuam8gQ1XU5cuRoWk0bMxK54QGa8aq+++67WLXKsmZWz5498Ndf9mfdSrtzXDOaygps2LAxV5EhcgHu3x+DokWLygai/GSItqZQwLtuW/j0nGC1ai1ZhkJDQ3H/fu4wuZqvhqeQIeO/1xE/IdBmnzk57h51/Q7Q9uaoCSRhMUGGJIDl4FDPJEOANmgUqO2PnBI/pTsMF0/LqdJCV24iQ3Sw4OAerF2BWcg1Ro0wnVVd2WkXhkPx7t17WAwKCb2ot27dCpQxl9uEYqQoPZ0ktxDbTz4ZzuoPySXOIUPPdqf+OBjaTsOsEqL4+HhW5+LWrZtyncXtejyFDCUsGoGU419Lw8NLDWTRCiOTMi9v+M/eLetbvCBD0i6ZI6M9lQwp/PKD6i+B7kcZxBT7CLED69muti7DGkSGzp07hwkTPpVBm2MqiLBQfM+TJ08cIi8//PBjWv2hdevWYc+e3Y5tzEmzk5KS8ejRQ7uLIFJj7aZNU8MJvvrqK6xevcpJO3VMLRV5pGrKVK7GHqG+oX37pgaFjxgxHFQY2ROEWtjcvXsPT548lrwdWy5dyYqeTXAqGaI11I0Doe0x3mocgE6nQ0BAAB48uG/v/j1qHqUzfvPNYdmj3CUd0mhAbGj1Z32m+GZ612gKbehkxE/sAuMd/ppQXm9Vh+84+VxxggzxXS85RrmKDFELj8QvF4LW4xXfTxbB6/36vMOzHJewejJSjm7n00VZsa1Cob9wCoa/T/HNeZZNxj3YRQPpwUkVkzdv3mxXnZz0lgQXbdnuZfT6FOzduxfR0dGgl2wp0qNHTwwa5JzsWCn74B17+PA3iIyMlExmatasiejoRbzLuHzcggULsGnTc1cezwbeeustrFmzlmco1xinkyHmMqvTFj7Uy8yKEEOlWkS5QciP+eqrr1ptAueS85mMiJ8aDMNFaVVh/RcehLLIK9Bf+BW6aT35t0rWoci9UBaVVtXV1gKCDPFD7+hIV5Gh/Bv+QMrJb5AQxR9w712nDXz6RTh6RPZCQEkEpicPuHSpSpaH34wdSDlxEAmLR3LNoUFkGfJUoe/XIUOG4O+/pVXdXrZsWZZp9p54XnLn9enTG7du8ffFbNiwIWbNylkB02T1CwnphRs3bnBfhvLly2PTps3c4109kCyaVLaBSC2v5DwyRCej5q5NukDbdaRndx3nvQoeOo6sOnGj22bZcDPj1qnFBrXaYJKSjLiRrUCZaLyiLFEO/hHbZbmuggzxou74OJeRoY1/skKHcUMagwo98ghllfkv+hYKre2mijx6DDf+Rvz4TtyFJakBMPXgSzl+EAmLhvMswcYQGbpz5w6oDg+vUA8p3krIvDptjYuPj2N9q6Skxfft25e1dYiLi2O9x3gbkKrV3ggJCXV0y3bP3717F6sazSvmIGp6GG/cuJGdl0foxTcwMJB1QneHUBsU6oXHG8dVokRJVjmcZP78eXjy5Cn3tqdMkTc21NbCV69eYZjacybuw2Qx0PmWoXSLs15m7cNkeXDKcfhcpcNogG5hOPSnjnAfi8VnLP/Roi4UBV8zQqXnLEGvVMJv4jqoyr/Lva6tgYIMOQwhtwJXkiHaVNLuFUjaxm+m13YfA3WzIO7zWBuomz8I+lN8PaUUBV9EviWpY+0hQ1IbtbZv3x5jx45z6HxSJs+ZMwfbtn3JPYWauU6fPp3V26GgYt4HVKlSpbBjx07udeQeSNaSDh3ac6stVqwY9u7dx1qLtG7dGnfv8tUXoqrdlM3kLjJE1qGmTZtwB3tT7ahvv019NkgNoD558lduPB0ZSGSd9sbb5iU9wXNkXfNcl5IhWlT9cQ9ou/GboOU4ZF7Qof/rBHQzpL2ReTcOhE/PzEGfFDtkuPIHN2xKapq6mJ+ECTKUioCvO9txuKjootmFZLz7D+JGtAA4+1mpyr4Nv2lbuO/BjANND+8idjB/AUeW/dp3eq4lQ6dO/Yr+/ftz42l2qxC5CAjowE2GKlWqBGqX4E6pVq0q9/LpyVDDhg24LUP+/v74+uuDmYo2ci8sw8BatWpyx4PlBDJEVrlGjRpyE7wcT4agUD4LqnbdW5EM953Hq9DNHQj9af52Bor8L8B//ldQ+PhlOpvh2jnEfyqtuqfPoEh412zuEE7CMuQQfJImu9oyRD3Q4oY2hfEh35u3QqOF/7IfoND4SDqXeXDKTweQsGQU91y/qVugKve23WSIkkGkNKQuVKgQ6EHsKqGsndq1P+RezkyGaN6VK1e45+XL54+SJUtxj3fGwPbt2+Gff/7hUm0mQzSY4qoMBr7ms5QsQ/V73CmUfHT9Ol/CS3oyRC5dKeUDqJmvKyTvkSFClQhRq17QBgwGVF6uwDlXr6E//R10c6VlRKhb94a28zCbuEhNz1eWeA3+M7Y7dD0FGXLdbepyMgRAf+4X6CJCuA9JbjJyl9kjuum9oD9/kmuqqlwl+E19Hlxqj5uMayE3D2rQoD5Lu+cRTw+4zeoM3bsH4cIFvoDx9GSIBxdPGjNw4AD88ssvXFtKT4a4JrhhUN4kQ8+A1nQaAk3LEIceoG64Zh63ZPykrjBcPsu/L7UW/vMPgNxbtoTcZPGTuknqdq/t+Smz+tkrggzZi5z0ee4gQ7TLuKGNYbx/h2/D1AdvxTHJgdTG29dYIgCvUPFQKiJqFnvIEFmGrl+/zrskChYs6FLLEG1MisUkvWXo6tWr3Oci91HJkvJkl3IvmmGgvWTo77//5o5XUamUqFDBvZYhe8nQpUuXoNfrueGtWLEi91hHBuZpMkTl9zVt+0DTcYhNDCdNmmRXQSZHLoq9c8l0Sn19KLjOVZJKWrqCO92D+scRCW3TN9stUnpxys9fZTvOPEBZpAT8F0os9phOuyBD3FA7PNBdZEhSw1SFAn4R26Aq/Yak8yZumovkGP6+Rf7R30BZ+LnLyh4y5OkB1PaSocuXL0mq8lu79kegmjHuFHvIEAXtSokZ8gRLi71kyFMDqPM4GQLLZFK36AmtjcafxGIHDhzIqox6uri6ArUpKRHxo1rDeF9a41sKds7KKmTG2XjrCuJGtZEEu6Zdf2gCpLnszAsIMiQJaocGu4sMGW5cRPxY/mwf1udwiLS+YnFj2sH4zyUufCiVnlLq04sgQ4DZMiTIkPXbSJAhrj8vSYOoHUqrVi25rXMVKlTAxo2bJK2R1WCXZ5NZ3YxSmdrtvlVvUKPXjHLx4kWEhYXh6dMnsh3cGYpcTYb0Z49BN6e/JKuQNmg01M27cx8/YWE4K5rHKxTwSm/aCv+CvFPSxgkyJBkyuye4iwzRhuOn9YDhAn+F53yLj0JRqAjXWVltobHPXV5ZTqKGw7N2QVm8jMNkiAJ2N2/m/2Km+jZNmqS2gXCV2OMmo3TnL774nHuL5cq9hg4dOPHn1iptoD2WISodEB0dBQoY5xGt1ocVs3Sn2GsZonpYOh1/pe4uXbq65JhnzvwOahvCW8YhZxZd5IRS23001E26AsrMhIj+KLt0CWQ9dzxVXEqGUpIQO6QJTE/5qusSZqyWSvRhaTFaBj1i+9aCKVHHDbum6whoWkioZP1MsyBD3BA7PNCdZCjl6A4krJ7EfQZtyESoG/JkN5qgmzMA+jM/cOlWvvAS/Bd8lakPmj2WIa4F3TzIHjLk5i3btbw9ZMiuhdw8yV4y5OZtW10+ISEB/fr1xfnz57m3V6vWh4iKiuIen91Az7AMmXepUEDTcRA0bVIbymUUKgDWrVtXPH3KXz0zOwDk/NyVZCjlux1IWMX/QKFzqlv1hjbQdgaZLSwSVk1EyncSCqkplfCfGwPlS9ICKQUZkvNuzFqXO8kQa57a/yPuw1JBT7/JG7Idb0rSIW5oE5hi+SpdsyKwnTK/3Qsy9NxNli3oHjhAkKHMF8UT3Hq2bpVffz2JhQsXggLYpUjXrl0RHs7f5ic73Z5Fhmi35DKjuJP2A6zu/a+//sLQoUM9MqjaZWRIn5LaNuPezeyub9rnCnoLnhcDhVp6cLcp7gnihn8M+skr6sZdoO05nnc4GyfIkCS4HBrsTjJEG09YPh4pP3C2ryByPXMnqHxDVmL482fEz+rL5TZmLT8WH7Fax8geMvTHH3+wbuC80qJFS5e7WeyxDF27dg1hYf25XRfVq1fH1KnW+1DyYuPoOHvIEAVQU3FJ3kav+fLlw/btOxzdqkPz7bUMBQV1k9SaxaFNZjM5MTERlIlpj6xYsRJVqlSxZ6rVOZ5Hhp4RIm3XEVA37WbVZUaEiDoNx8Xx1cyQDa1sFLmKDEltbUDb1rQLgyZgoN1QJG6Yg+Sv1vHP9/KC/+w9UL5cmnuOIEPcUDk80N1kyHD9AuLHBXCfI1tybTIibmwAjP9c5NLp9X59+H5ivT2IPWRIZJOlwi6yybhuP1kG2UuGpGaTybJZmZUULlyYVQCXUzyTDNEJFQpoQydBXa89K9KYUaiKJsUQ8TJ5OUGzpcslZIgq+Q5rBuMDzlotBKV/Afgv+Br0NmyvmHSxiB1QlzVz5RWvqg3hG87v0xVkiBdZx8e5mwxBn4ynvWsCKXwBq8pir8J/7n6bBzfevoq4ka25gfEZthDe1RpZHS/IkMgmy+5G8gS3U14mQ0FBQRg6VHrIR1bXVRYypHyxOCuMZrh5Obt7SNrnCiW0XYezfmbWhMrf9+rVy2MsRK4gQ0m7liNp+2JJOPr0i4B3HWkp8tYWSP56AxLXz+Jfm7J1qIZLQb5MIEGG+KF1dKTbyRC5RQ9uQOI6zvuJag5N2wJVmbesHj354EYkrpvJBQvdj3Rf2qp+L8iQIEPZ3UiCDGWHkHM/p4y44sVfkXURechQ8TLwi9iOhDn9uUvgc59CqYKm89DUStVWhMzT5Kv3hKBqZ5MhU9xj1t/JlMifFqlQa+C/6AizDjHXxPhOkqpKc18nGwNV5SvDb8Jargy2vEaGtMFjU13BbhBPIEN07Ng+NUFWRx5hgdST1lm1FFNMm/HfGzxqoOk0FJo2fWyOza1kSEoDU1FnKOtbyRPIUGhoKM6ePcN1zzvSqJVrARcOmjBhIlq35rcC825NNjJE8SEw6KGb3c8phEjb61Oo63VgAdYZ5ffff8ewYUPd7jJzNhmSbBVirsbJqa0GTEboIint+Efee0OecSoV/KZt5aoinHx0OxJXT+ZeV9NhgM1Ae24lMg7U//otdAuGcmvUtOsHDfXnc4NIblnxjLgl7V6OpG38lklz13pbR9TN7A39n8f5EKD2HFGHoMhgaTScP4n46b34dADwm7kTqlIV8hQZopYanTvzlCdIhcVMhq5cuYzAQP4WO9Wr18Dixfz3B/dFkzBQCumzt2s9BVAfPvwtlFaeRxK26tBQV3Wtd2iTMk4mrOvUqYPZs+c4BXd5yRDdGPpkxH8aCANnICM3VgoFfAbMgnfNj1k8UUahomddu3YBRae7S5xJhowP7yJucENJR1MUKop81B7DS82K3FGxO3cIBVH7z91n9Y0+/X70v30H3Tz+6tXetVvBJ4zPNeKKc0slQ17vfgTfkctcsbVMa1AwPAXF84rZiiU3GdL/+TN0M21baTLuz1qsD5WYoFITPEIkiMhQVpIbLUNbtmzGvHn8lbzr12+AOXPmgMqZtG7dijub7I03KmL9+vU8l8IpYx4+fIimTZtw605Phlq0aIH79//jmuvr64uYmAOgXmzuEGpd0bhxI+4eYzndMkTPVir+6MxCl/KTIQAmXRx01Dz0Nn+DP64bSqmEtsc4qBtZf1OhOgVUuMldQdXOJEOSs7ky9CCTWkma63pIGOQ7fDG8qtTLcoZUMkQWgnxLjkrYhXOHSs2Qgpc3K/qnfOFl524so3aDAbH9P2R/p7xivn5ykyEYjazli/HONa6tKF9+Ff7zLAOp4wY3gvHhv1zzyWWreuP9PEeGgoO7Sypo17NnL9YGSSoZ8vPzw3fffc91LZwx6Oeff5L0wDSTN0qtJ9fL3bt89xH1ody+fTtKlJBWS02uM9PLP5UCoH3zSLFixbF37142NKdlk9WtWw8ULF6mTFmeo9o9xilkiO0mJRnxESEwXPrd7s1ZnahSgbWUoErVVuTEiRMYM2aMW4KqnUWGjP/dQvyoNjAl81u9lEVeSc2+8fKG4cqfiJ/SDTAY5L0WErSpXq0Iv6mbs4wdYk1nJ3aRoBVQfxwMbdeRVq2FkhTJMNj45D7iBmRN+DIu4/1hS2bxdKWkHN2OBAnuSNqbX+ReqIqXhexkCEDSzmVI2rGEGwK6j1TlKqV+zZw8jISFfFklLKty4SEofPzyDBmi1gZffPEFVqxYzv3gJHCmTZuOZs2asVjMRo0acluGaC4Vwxs2LBwKKxZ87ots58Dw8GH48Uf+UIBatWohKiqanS8wsDPIncgrTZo0YTWViBi5WiIipmP37t3cy5YtWxZbt37JxucUMtSjR080b94MZcuWc8m95DwyRBailCToGCHiC/LivrJKFXz6T4d3rRZWXS8nT57E8OGfgEp8u1KcRYYSlo1Fyo/7JB1F230M1M2C2BzdrL7Q//GTpPnOGMxKJTToaFO16elDxIbVkbw03QfqJl2goKxGjY9DJQQkL55hQmxINZiSpN13XlXqQ9MqBMoiJQBff6uFAB3ZF/0dIimRNfRN+X4Xkg/x99Bi66q8kH9d6kuNM8iQ8d/riBvegvuI6lah0AaGs+KK8RM6w3DtHNdca01ZrU10hZusbdt2GD9eWlFSrkM+G0Q9tm7duolNmzYxiwBvvyfzGuvWrUfFihXZ/370UW1J4QegtHQdAAAbQ0lEQVREgqgwbtOmzfDiiy9K2bZdY+lst2/fxqpVKxETEyNJR0BAAEaPHsPm9O4dijNnpD2rAgO7oFu3bnj5ZddYd6mZ6fbt2xjBlSKVK1fG6tWfsSmOkCG1Wo2iRYtmuzS5K+0tpmhWTvff559/AXquukKcSobYAVKSwbpI/3td3vNQDFF4NLzfr29VL10MSr13tdBNJ+ebgikhDrH9awN6PfdRFPkLI9+yVFM1qw9ErQ8M/PO5F5I4kBpi+kdmTepie1eHKYE/W07iFmQbripWBpqunzxz/T2PYdPN6gP9Hz/Lto4nKGIxX/NSHzLOIEOkVze7P/Rn+d/oKYaJ4uiS9/M3Ec23+kS2ViH2lXX8IBIW8VeTpiBxqUUXKQC3c2f+wGTe+yA5ORl//fUne6jrJXxnZNR/6NA3KFSoEPv1qFEjcfSofe5oIgnVqlXDSy85hyz8888NnDp1Cvfv3+eFyGLc8OHDQYSGJDJyDr78MtV6IlUKFCiAGjVqoGTJUlKnco2/ceM6/vzzT0b67JGAgI4YPXo0m+oIGeJtjvr9999Lqshu60wUxzV58hR7jix5jvPJED2Q454gfkIgjPf+kbzBLCcoVdD2ngx13Xby6vUUbSYTdLPJqiPt4eozcHaq1cxkRPykbiD3k6eIttso5tqyJYlrI5B8aLOnbDfbfWQM4qaHc+Lm+dnOy0kDvKo2gG94NNuys8iQ/uwxlonqLGElHiZv5FLvCjLEtRE3Dfrwww+xcOHzYqm//XYK/fo579q46ZhsWbKwvP12qsv13Llz6NHD9neTO/fp6NrR0dGoWbOWy8gQWesWLFiAzZslWqGtHDQyMhL16lk3ejiKS/r5LiFDtCBzmU0JhuHaX3Lun+nStA+DpoP9rSZk35BMCo13/sesatCncGtU+PizgnJUbZrcTgmLR8LkxFghqvxL6/AK6wlF6dE2qmGTy4OIMxG5HCFKJfzGfw7VG1XZdt2ZtecsvHz6TIU3VYJ3IhkyxT9FbN/UL2tnCIszbN6dS3VeJkPe3t7YsmUrSpWytHA0bNjAI2q5cV1AzkEvvfQS9uzZa2HJb9u2DW7dusWpIWcMK1iwIA4c+Ap0bUlcYRmidchNRo3Vb97k76FpDVHa96pVq0FWKWeKy8gQHYICgOM/7QzjrSuyn4m6satbhFitQyT7Yq5QaDQifmZvGM79wr+aUgmfgXNAsRGuEv3fp6CjGi+cWQ20L03QSGiaW0/zNyU+6zwex9d53FXnzGodixR5gx5x4U1hfHDXE7bm8B4o2Ng/+nAaeXWWZYg2mrhpLpJj1ji854wKKI6MNWXlbEeTl8lQpUqV8Nlnn2cKWJXS+kH2C+gkhSNHjkSnTp0ttJMFZf16CT0YnbQ3OdWmj4tyJRmitR4+fABaPzaWr7CqrXMTOV+zZi3IvewscS0ZSkpA/PAWMD6654TzKKANGgl189xh5tRf+BW6aT0l4cQyyCi2Q+WagDO2OXr4j2gJ4z0J7F+hTC2eV9h6HEHS3tVI2rpQ0tndOZja0ZC1yyz6cyegm9Gbq3u6O/fNs7amy3BoWj4vaOhMMkTZjk9Dq0nqf8dzBnWjztD2msAzlI3Jy2Ro//79VuN7zp8/D0rPz03y1VdfZwrwppT19u1zV9jFxo2bUKHC8yKjrrIMme+VXbt2YcaMCIdvnfRB4A4rs6LAZWSIHpa6iF4w3udvMGrPgbWdh0Hdurc9Uz1qTnxELxjOnZS0J5+h8+H9AX/BMUnKsxisv3AKOokFHakdArVFsCUsS+iq/C5Vuc6cXk9GMkQEMX5yEAxX/3TGci7TSfWP/GbuYK1czOJUMgSwwqDkapRTWAX0svwm9rxKhigDLCjINuGh2I0vv9wq56Vxiy6qZExBuc2bN7e6/pYtWzBv3ly37E3uRalIYffulgYCR8jQ+++/j+XLV0je5pQpk0FE2xGhLEUKBB81apQjamzOdQkZMlw/D93kIJiS+TpUO3pSSrul9NucKvozP0A3J0zS9lkdn4htkubIOZjVlJLg0iPXhd/0L0EZZtbEeOsq4meEwPTYviwROc+Wna5MZOhZFl/8pC4w3nZ9RmN2++X5nK6PL9XzKfGaxXBnkyF23T/tJKmmVlbn8a7ZHD6DInmOnDYmL5IhemBmV92XitkOGBDGAo1zsrRr1w7jxtkua0AZeVSv6JdfJIQoeCAgVENp5sxZoGrZ6cURMtS3bz/06cNfMd68LrnLQkJCHI7HIkI0b958fPTRR7Ij7nQyZPjnEnQTA11GhMwIaYPHpBZmVGTuZUZp95RFkJLCH5jMgzy9cdDblUaj4Rluc0z8lO4wXDwtSQd94dMXv7uEVY+eP1iSayi7goOG/51j/dQ8nRBZI0N0HYyP/2MvAVQ0MyeJokBh+I5ZZbV/lxQypHrzAxZcLlUSN89D8n5pdVSsraHwL8jawCjypaaI84r+r+Opbk5OsSe1nlO104f5+PiAqk3Tg4pHHj9+jEGDBuLixYuSaxfx6HfmGPp+btOmTZZEyLw+VXamc1LaPm+VZ2fuXYpuIgwffPABFi+2XsjUXjJEJWN2795jd02lK1euMFcrkU1HRKvVYsOGjShdurQjajLNdSoZYpWTxwfAFO9Y8JRdJ6YmpT3H22zd8dtvv7G3HIOMmVZyFF3U//49dHMHSSIVqd2817u5CrMJuvlDoT91hP9yqVTwjzoMZaEiNudQnSRdVDgMvM08+VeXbaQtMkQLUNJA4toZSPku635Ysm3GQUWqilXhO2Q+FPlfsKpJChnyCY+Cd1Vp/fTYouRmnNkH1IDVblF5sQ73qnLvSFdhNLLaXpThxiM5lQxVrvwuZsyYwVVELz0O9J1prmrNg4+njJk1axZL0eatA0ckaP/+fZg2bZqnHIFrH+RGateuvc1ihfaSIQpi/vLLbdz4Zdwspdvv3k3xQzO4zpHVoDJlyrC9yClOI0NU7ZZq3Jge8zW+k/NQ6XVpu4+GullmPzhdGCrbPm7cWEnVVbPap8NkKCUJcaPaSq7H5DdtC1Rl33YWhNx6Kc0+fnxHSVZA1etV4PfpmmyzACl+KPnwFuh/ioEpxbE3C+4DcQ7MigwxFSYTyMqVcnQnUo7tA2XMeZR4q+FdrTG8G3SEV4V3swzA5yVDFKPjN2UToLSvVQEV3kzavhjJ32yWXDBUWeI1+IROgqrCe3bDnHx0OxI5W5bkJDJEb9UUK9OqVWuWquxI13VKQac4EKqITBYjT5QSJUqw9iANGzbCCy9YJ/jZ7Zv6lR05coRV86ZebZ4odLauXbuhcePGKF68eJZbtIcMUazQ3LnzZGlMe/z4ccyaNdNhlxndx9QORS5xChky3rwMipcwJUprSyDXoTLqYS6zpqmtKTLKgQMHMHPmDFkIkaNkKOWXQ0iIHp69VUilYs09lSXLQ9t1BJTFXnUWdJL1Gu/eQNKOpczNx5pnZmd589bAf+YO/jMkJyLl9PcwXPwdtJbp4V0YnzwAkhNZtW13SLZkKN2miAgZLvwK6tZuvHcLpgf/Mnca1ZIyObmcAEstV2uhyF8ItGdl4ZdZ01Kvt2uCXEo8kvz1OiTts+3CUhYtASK4Wqr75a3mUZnlGOM/F5F8dCcrx0H4sGttMlnModpaCmpjUrgYvN6qDnXdtoC3Y65qWkB/8jCSj2yD8cEdm9ZtBTXbjToET8tCoocjEZ+CBQsxy89rr70GysapUqUKqKWCnEIvlr/++it+/fUkrl+/zh5yjx49Yu4Q+ulsIUJH1bKpSSz9LFKkKCpWfAMffFAdb7zxhqzL//HHH6BmsJcuXQa1xnj8+BF7dlDohSuEzkcxQKnXtQjKl6/AXGJ0bXmFQjkohic7IVxfeeUVUBHOJk2aptUpym4ez+fULubEieP48cdjuHPnDsNRqtD+ZsyYyfYoh8hOhqhQIHONJfE3FZXjINnp8Ok9Gd71Olh1JR06dAiTJk10qHw9re8oGcruDOJzgYBAQCAgEBAICATkR0BWMmR8dJc1TjQ9cQ1LlgQHNXclQmSldQe92Rw7dow1d3UkWE6QIUlXRAwWCAgEBAICAYGARyAgGxnyHb0SuqnBzKTsyaINmQh1w06ZtkiE6JtvvsHUqVNAJjx7RJAhe1ATcwQCAgGBgEBAIOBeBGQhQ4p8BVNjHnJAt3GC2yd0MrwbBFhFfufOnZg/f55dhEiQIffezGJ1gYBAQCAgEBAI2IOALGTInoWznUN9tsKjkLxzuVOau/oMmAWqc2NNKENi2rSpkl1mggxle1XFAIGAQEAgIBCwgoA5RMORDD9HgdXr9TZT8h3V7enzPZMMUXxP+EJ4v1ePZQjpZvWVv7WBygs+/SPgXatFpmtELrNvv/2Wpd3Tv3lFkCFepMQ4gYBAQCAgEEiPANVuonIHlB3mDomLi8PcuZGsVUleFM8jQyovsLieeu3TrofpyQPoZvcHtfWQW3z6TYd3nbZWCdG+ffswe/Ys7oqZggzJfXWEPoGAQEAgkDcQ6NSpI6ZMmYqKFSu65cCnT5/G2bNn0aNHD7es7+5FPYsMKVXQhkyAur6VeJ7kJMRP6grDjb9lx8wnbCa8a7eyqnfz5s1YvHgRFyESZEj2SyMUCgQEAgKBXI8AJe00b94M1CS2aNGX3HLe6OhoNGrUEG++yd/U2C0bddKinkOGFAr4DJ4L7+pNszxq3Oi2oKKOcovvsAXwqtbYqtodO3YwC1F2LjNBhuS+KkKfQEAgIBCwjQDF2VB7EG9v72xhMrdeop+8hSepfyW176B16Ps9OzGvkbHlBz07KB7neVyQAiqVV1oFcKrg3bp1Kxw5cpT9ztZ6tJ/0Z6X16D/STz3JzJ+lX4v2nXE/NIfGkNA8+rxXr56YPXs2ihVLrWCdfs+pY5Rsz+kl47lIT0acaAytR2eif9MezXFRKSnJ8PLyZnvIKObnLX2WUQf9jtaRM77KM8gQxQgNmAnvGs2sNla1AP/pw9QYousXsrsvpX3upYbvoDnwqtbI6kWhoGpKu89KBBmSBrkYLRAQCAgEHEGAOssvX74Mn3/+vCo6VYQeNmwoZs+egwIFCqSpHz58OKhj/apVK7FmzVqLB3BMTAxeeuklVK1aNW386dO/Yc+evWjdujV27NiOiIjnPbWIlFAPMOqzRc1uzUK16oKDe1hUhCaiM3r0KLZeqVLUXNQEalr69OlTTJs2nVXJvnnzJubMmY3o6EXYt28vbt68hbCwsEzQ0LkWLoxiv6fM561bt6B8+fLw9fXDhQvnWRPVe/f+Q8GCBVCsWDFWJfvGjRusaSudj+Tw4cNYvnw5q0peqFBB3L9/H1euXMX9+/8hJuYA8uXLx/YzZsxolCxZis3T6XT4/ffT6NevPxo2TO03GB8fj/DwYazyN/UtI0zI1UatXqgFilmGDBmMp09jUbJkCdbOo1u3IFCbFBJao0uXrlYraFMfs6ZNmzHcxo8fx85CWNFz9n//+x8jc6tWrXbk9rGY634ypFJBGzQ6tcM8p5ge3UP8rL5OsRDZ6v5OzHTbtm1YuHCBzW73ggxxXkAxTCAgEBAIyIAAkYpRo0ZaNBA9evQooqIWIjIykrWrICE31NChQxgpoMQYIkpmawSRla5du6BNm7bo168fG0/f9717h2Lo0GGs/QWRkP37Y9J2fPDgQcyYEYF169andU+nlixLlizGrFmzLU42cuRItGvXFjVr1rIgYLQPetjXrVsXP//8M65evYpu3bohKioK1Ausdu3aFnqItKxevQpjxoxlRKpJk8b4+uuDKFjweSudjh0D8Mknw1GzZs20uStXrmREZ9y48axVysSJE1hskpmQ0MBLly6hf/9+OHToG/z3H40dixEjRuLNN99M00M4BQR0YFiTRWbgwAEYPHgIatSokTaGWrD07NkDc+bMQYkSJZnbLzk5iRFEa/LTT8fw999/o1evEIuPaT9E2ogQfvHF5zAYjOjdu7fFGCqBU67ca2jTpo0MdxLgXjKkVKYSoabdJB+GejxRtWvj7WuS52Y3wWfIPJvuOor4pzcLYsEZRZCh7JAVnwsEBAICAfkQiI2NZURm585dzP2SkJCAvn374L33quCjjz5CtWrVGLGZPn0aGjduwh7cy5YtZSSkbNmybCNkXSlbthxrOEskieTBgweYMmUKKI6GLBJEAg4f/pa514gUdOkSiHfeeQft23dA9erV2RpkAQkK6s7+3yynTp3Cxo0bMH/+AotD0/gOHdozyxBlkBGJatasOcqVK4chQ4Ywd1V6ixNNJusVPXfatm3LeuERGdm7d5+FXjo7EZRKlSql/Z6azMbE7Me8efMRGTmHrffxx5ZZ1GfOnGGkg6xOa9euZVaX0NDQTHtu27YNG0OWo8OHv2GkKqOQtScgoCOzsg0ePAghIaF47z3bTZMHDx6MRYsWpakhl9qCBQswYsQI9jvClaxJ6XGl3xOBpD5xRP7kELeSIZ+wGfCu3dr+c5hMiBvREsZ/r9uvw9pMhQK+I5bA6906VvVSUDWxUkGG5IVdaBMICAQEAlIRaNOmNbZu/ZI1pt2zZw8SExOYxeDKlcvo3DmQWTpatWrJmoLSCyv1ooyPj0O7du1BZKpPn97YtGkzAgM7M6sHyaBBAxEe/gkjJ+R2a9iwAaipd4ECBZl7ihrh3r59C35+/swyQXrowU/ut/SyYcN66HRE0Ppa/J50Uvd42nfhwoURFtYfc+ZEMhcVWaRWr/4sEwzkkurVqxfeeacyzp07x/bx6aefWowjYhgZOdeieen69euh16egZ89ezPI0c+bMNGuWefKBAzHMlRUYGIixY8ega9duFoSKxpF1jeKaaM/btn2JihXfzGS9onGhoSHMpfjiiy+iadMmzIVZujS5B60LEc2NGzdBo0ltrkzPV3KntWqVmtRk7Uz0+y+/3IoXXyyCBg0aSL1lrI53Dxkii1DoZKgppV2pdOggqS6zfjDevOSQnoyTFWotfIbOt0qIKBCMgqrJx5tehGVI1ksglAkEBAICgWwRGD16NCZOnMhiVwYMCMOiRYuZZWP+/PkYO3YsPv/8c+buMbtz/vzzDxw8eAgUQ7R48WJm4SErUufOnbBy5So8ffoEgwYNwo4dO9MCkom40EOdrE9EFpYvXwGy+pw8+Qv69w9j9XkaN26MypXftdjv5MmT0aRJE9SqVcvi99Q1nogH7YMsIUTWdu3aDar1Qy4q2kd6oWcOucVoDxSfs2vXThQvXhzVqz93UdH4Dh06sHCO9IHFERERjDBQ/SIiM7t378kUcE6xT2QJovggCqSm85nJiXkf5JoLDg7G7t27WQzUpEmTmQsxo3TvHoT16zcwVx7hRq43Iqq2hOKsyJJkdu2RZWn69Ii0QGy6Lps3b8kULE3N1UeNGs2uuxziejKkVEHTeSg0LS19hI4cxnj/NnREiO7I7zLzDY+GV9XMzJNuTmLcFLxnjsoXZMiRqyjmCgQEAgIB6QgsW7aMxeSkWm4KoEOH1NIsZN2ZOnUas9jQw9lMEK5du4bJkycx1xWRmJkzZ7Hx/fr1xaBBg/HDDz+gXr16FvEyFCw9cOBAtkaZMmXQrFkzVm5lwoRPmQWJCASRjIwEgixCc+fORf78+S0ORvFBK1euYPFFFOBM8Uzbt+/A8ePHceTIt5gwYaLFeCJJZGX56quvma4JEyaASCBZUNILEQtyh6UXcp2Ra4ueT+RyIqKTUYhELl26jP2arFTLli3PNIYsYYQ1ufYovsiaHsJk5MgRiIqKxp07d1isFVmSshKyBBEBDQ3tzfZHcVqvv/562hSyiC1YsDCTiuDg7ixmSy5xLRlSKqHpPExWImQGwpQQh/ixATD+d1MubNL0+A5fDK8q9azqpZtj3bpUH6sgQ7JDLxQKBAQCAoEsEaCYGKPRwCwiZBUyp82Te6Vt23bMRURuH7NQDFCLFh+z2JsPP/wQ9erVZx/NmjUTr776KovD2bRpk8WaFEdDcTjr16+zeDAT0aDsqhdeKMwsQxmlR49g5vLKmPpPngUiTi1btsTJkydZvA6RkV27duHSpYvM4pFebt++zdx5lO1FEhTUDWvXrrNImadg8kOHDiIsbIDFXJpHWVfk5iKrVsb4JYpDIqy2bdvO5g0bNgwLF1qSD4pxIgsbuQ2JKAYFBWHDhg2ZzktuykePHqFnz544f/48vvnmEIYMGZrl9bt79y4rXUMuPCp0nL4CNhWBJAscuQfTC5HDkJBeaW5NOf5EXEqGWEHFBp2osIEce8+sIyUJcaPawHhPZkKk8oLvyKXwqmRp6qQN0E2yZs0aLF26RJAh51xVoVUgIBAQCNhE4PLly4iImI7AwC5o2vR5nTrKaiJiRBaM9G4jShOvV68uC+olC4j5MwpQjo6OwrBh4WjevLnFevRApjhReig3avSc9AwYMIBZiFavtp7iTRal9957l6WPpxey4FBWWJEiRbBz5w6Wuk7B15RZRYHbGcnYwYNf4/jxE5g0aRIePnzIiBGRl/TnIk8FxebUqfM81pUy0KgkDKXs0ws7ua2IGJUsWTJtO8eOHWMkz2zpITcXYUAZbWbZs2c384TQvtRqDbNkUaxUgwapafYkZNUiixu5tAoVKoTNmzehTJmyFtlmti4iBYNTbBfFDqUnjvRc/eCD6hYlD0gHpfBTIHxGd6IjfyauIUPmrLHGgYBS5ch+s51r/O8WdHP6y55lptD6wodcZm9b+mhpQ+Qy27hxIyNElHEglw8z28OKAQIBgYBAII8jQO4Yincha0v6DKzx48ejfPnXWOBweqEXWKr2TJljlStXTvvo+vXrzO31xRdrMhUppPgXijFasmSJRcFGsrRUqfI+OnbsmKaHYlzooU6eAspKo5o+VAOILEFEJKgG0LvvvssCuOnBT5lTZCGiekEk+/fvY4HglBlHAdX0HwVNd+rUia194cIFLFgwHytWrLQ4F7n5KI3/tddS9ZAcO/Yjzpw5CyJtJGSFoqDuJ0+eMF2Ull+69Kss1ohqFJGQ227t2jXsJ+2BAryrVfuAWdLMbjkiLmQEICsWETnSU6nSO2yPRIRICJuxY8dlchFS25EtW7ZaEDkibFT5OiDAsvsEnYlII7km0wu5KylAnjLn5BILMpSwYjxrjCqnKNQ+rNWFV2XLmglyrpFRl/HuP0hYPg7QZ05/d3Rd6navLPZqJjVEiD777DNmPsyYEunommK+QEAgIBAQCAgEBALOQ8CCDDlvGaFZICAQEAgIBAQCAgGBgGciIMiQZ14XsSuBgEBAICAQEAgIBFyEgCBDLgJaLCMQEAgIBAQCAgGBgGci8P/ooUm4XlsPIQAAAABJRU5ErkJggg==">
          <a:extLst>
            <a:ext uri="{FF2B5EF4-FFF2-40B4-BE49-F238E27FC236}">
              <a16:creationId xmlns:a16="http://schemas.microsoft.com/office/drawing/2014/main" id="{3A79E385-6285-4628-9800-A26CBF61EFC2}"/>
            </a:ext>
          </a:extLst>
        </xdr:cNvPr>
        <xdr:cNvSpPr>
          <a:spLocks noChangeAspect="1" noChangeArrowheads="1"/>
        </xdr:cNvSpPr>
      </xdr:nvSpPr>
      <xdr:spPr bwMode="auto">
        <a:xfrm>
          <a:off x="0" y="333375"/>
          <a:ext cx="3048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238126</xdr:colOff>
      <xdr:row>1</xdr:row>
      <xdr:rowOff>161925</xdr:rowOff>
    </xdr:from>
    <xdr:ext cx="3333749" cy="638175"/>
    <xdr:pic>
      <xdr:nvPicPr>
        <xdr:cNvPr id="9" name="image2.png" title="Hình ảnh">
          <a:extLst>
            <a:ext uri="{FF2B5EF4-FFF2-40B4-BE49-F238E27FC236}">
              <a16:creationId xmlns:a16="http://schemas.microsoft.com/office/drawing/2014/main" id="{33DF097E-DC72-4999-A42F-CDD3575EDE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1" y="495300"/>
          <a:ext cx="3333749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3AA3-9B77-46A6-A111-442ADDD7E283}">
  <dimension ref="A1:AH95"/>
  <sheetViews>
    <sheetView topLeftCell="A7" workbookViewId="0">
      <selection activeCell="C15" sqref="C15"/>
    </sheetView>
  </sheetViews>
  <sheetFormatPr defaultColWidth="12.5703125" defaultRowHeight="15.75" customHeight="1"/>
  <cols>
    <col min="1" max="1" width="3.85546875" style="6" customWidth="1"/>
    <col min="2" max="2" width="21.7109375" style="6" customWidth="1"/>
    <col min="3" max="3" width="37.7109375" style="6" customWidth="1"/>
    <col min="4" max="4" width="13.42578125" style="6" customWidth="1"/>
    <col min="5" max="5" width="14.42578125" style="6" customWidth="1"/>
    <col min="6" max="6" width="14.28515625" style="6" customWidth="1"/>
    <col min="7" max="7" width="15.5703125" style="6" customWidth="1"/>
    <col min="8" max="8" width="18" style="6" customWidth="1"/>
    <col min="9" max="9" width="11" style="6" customWidth="1"/>
    <col min="10" max="10" width="20.28515625" style="6" customWidth="1"/>
    <col min="11" max="11" width="5.28515625" style="6" customWidth="1"/>
    <col min="12" max="16384" width="12.5703125" style="6"/>
  </cols>
  <sheetData>
    <row r="1" spans="1:19" ht="14.25">
      <c r="A1" s="1"/>
      <c r="B1" s="2"/>
      <c r="C1" s="2"/>
      <c r="D1" s="2"/>
      <c r="E1" s="2"/>
      <c r="F1" s="2"/>
      <c r="G1" s="3"/>
      <c r="H1" s="2"/>
      <c r="I1" s="2"/>
      <c r="J1" s="2"/>
      <c r="K1" s="5"/>
      <c r="L1" s="5"/>
      <c r="M1" s="5"/>
      <c r="N1" s="5"/>
      <c r="O1" s="5"/>
      <c r="P1" s="5"/>
      <c r="Q1" s="5"/>
      <c r="R1" s="5"/>
      <c r="S1" s="5"/>
    </row>
    <row r="2" spans="1:19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5"/>
      <c r="L2" s="5"/>
      <c r="M2" s="5"/>
      <c r="N2" s="5"/>
      <c r="O2" s="5"/>
      <c r="P2" s="5"/>
      <c r="Q2" s="5"/>
      <c r="R2" s="5"/>
      <c r="S2" s="5"/>
    </row>
    <row r="3" spans="1:19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5"/>
      <c r="L3" s="5"/>
      <c r="M3" s="5"/>
      <c r="N3" s="5"/>
      <c r="O3" s="5"/>
      <c r="P3" s="5"/>
      <c r="Q3" s="5"/>
      <c r="R3" s="5"/>
      <c r="S3" s="5"/>
    </row>
    <row r="4" spans="1:19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5"/>
      <c r="L4" s="5"/>
      <c r="M4" s="5"/>
      <c r="N4" s="5"/>
      <c r="O4" s="5"/>
      <c r="P4" s="5"/>
      <c r="Q4" s="5"/>
      <c r="R4" s="5"/>
      <c r="S4" s="5"/>
    </row>
    <row r="5" spans="1:19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5"/>
      <c r="L5" s="5"/>
      <c r="M5" s="5"/>
      <c r="N5" s="5"/>
      <c r="O5" s="5"/>
      <c r="P5" s="5"/>
      <c r="Q5" s="5"/>
      <c r="R5" s="5"/>
      <c r="S5" s="5"/>
    </row>
    <row r="6" spans="1:19" ht="14.25">
      <c r="A6" s="1"/>
      <c r="B6" s="7"/>
      <c r="C6" s="7"/>
      <c r="D6" s="7"/>
      <c r="E6" s="7"/>
      <c r="F6" s="7"/>
      <c r="G6" s="7"/>
      <c r="H6" s="7"/>
      <c r="I6" s="7"/>
      <c r="J6" s="7"/>
      <c r="K6" s="5"/>
      <c r="L6" s="5"/>
      <c r="M6" s="5"/>
      <c r="N6" s="5"/>
      <c r="O6" s="5"/>
      <c r="P6" s="5"/>
      <c r="Q6" s="5"/>
      <c r="R6" s="5"/>
      <c r="S6" s="5"/>
    </row>
    <row r="7" spans="1:19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"/>
      <c r="L7" s="5"/>
      <c r="M7" s="5"/>
      <c r="N7" s="5"/>
      <c r="O7" s="5"/>
      <c r="P7" s="5"/>
      <c r="Q7" s="5"/>
      <c r="R7" s="5"/>
      <c r="S7" s="5"/>
    </row>
    <row r="8" spans="1:19" ht="14.25">
      <c r="A8" s="7"/>
      <c r="B8" s="95"/>
      <c r="C8" s="96"/>
      <c r="D8" s="95"/>
      <c r="E8" s="96"/>
      <c r="F8" s="7"/>
      <c r="G8" s="95"/>
      <c r="H8" s="96"/>
      <c r="I8" s="7"/>
      <c r="J8" s="7"/>
      <c r="K8" s="5"/>
      <c r="L8" s="5"/>
      <c r="M8" s="5"/>
      <c r="N8" s="5"/>
      <c r="O8" s="5"/>
      <c r="P8" s="5"/>
      <c r="Q8" s="5"/>
      <c r="R8" s="5"/>
      <c r="S8" s="5"/>
    </row>
    <row r="9" spans="1:19">
      <c r="A9" s="7"/>
      <c r="B9" s="11" t="s">
        <v>4</v>
      </c>
      <c r="C9" s="106" t="s">
        <v>121</v>
      </c>
      <c r="D9" s="107"/>
      <c r="E9" s="107"/>
      <c r="F9" s="108"/>
      <c r="G9" s="106" t="s">
        <v>100</v>
      </c>
      <c r="H9" s="108"/>
      <c r="I9" s="106" t="s">
        <v>5</v>
      </c>
      <c r="J9" s="108"/>
      <c r="K9" s="5"/>
      <c r="L9" s="5"/>
      <c r="M9" s="5"/>
      <c r="N9" s="5"/>
      <c r="O9" s="5"/>
      <c r="P9" s="5"/>
      <c r="Q9" s="5"/>
      <c r="R9" s="5"/>
      <c r="S9" s="5"/>
    </row>
    <row r="10" spans="1:19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7"/>
      <c r="B11" s="11" t="s">
        <v>8</v>
      </c>
      <c r="C11" s="109"/>
      <c r="D11" s="110"/>
      <c r="E11" s="110"/>
      <c r="F11" s="111"/>
      <c r="G11" s="106" t="s">
        <v>120</v>
      </c>
      <c r="H11" s="108"/>
      <c r="I11" s="106"/>
      <c r="J11" s="108"/>
      <c r="K11" s="5"/>
      <c r="L11" s="5"/>
      <c r="M11" s="5"/>
      <c r="N11" s="5"/>
      <c r="O11" s="5"/>
      <c r="P11" s="5"/>
      <c r="Q11" s="5"/>
      <c r="R11" s="5"/>
      <c r="S11" s="5"/>
    </row>
    <row r="12" spans="1:19" ht="14.25">
      <c r="A12" s="7"/>
      <c r="B12" s="5"/>
      <c r="C12" s="5"/>
      <c r="D12" s="5"/>
      <c r="E12" s="5"/>
      <c r="F12" s="5"/>
      <c r="G12" s="5"/>
      <c r="H12" s="5"/>
      <c r="I12" s="5"/>
      <c r="J12" s="5"/>
      <c r="K12" s="12"/>
      <c r="L12" s="5"/>
      <c r="M12" s="5"/>
      <c r="N12" s="5"/>
      <c r="O12" s="5"/>
      <c r="P12" s="5"/>
      <c r="Q12" s="5"/>
      <c r="R12" s="5"/>
      <c r="S12" s="5"/>
    </row>
    <row r="13" spans="1:19" ht="33.75" customHeight="1">
      <c r="A13" s="90"/>
      <c r="B13" s="14" t="s">
        <v>10</v>
      </c>
      <c r="C13" s="15" t="s">
        <v>11</v>
      </c>
      <c r="D13" s="16" t="s">
        <v>12</v>
      </c>
      <c r="E13" s="16" t="s">
        <v>31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7"/>
      <c r="L13" s="5"/>
      <c r="M13" s="5"/>
      <c r="N13" s="5"/>
      <c r="O13" s="5"/>
      <c r="P13" s="5"/>
      <c r="Q13" s="5"/>
      <c r="R13" s="5"/>
      <c r="S13" s="5"/>
    </row>
    <row r="14" spans="1:19" ht="27.75" customHeight="1">
      <c r="A14" s="90"/>
      <c r="B14" s="124"/>
      <c r="C14" s="88" t="s">
        <v>117</v>
      </c>
      <c r="D14" s="19">
        <v>4</v>
      </c>
      <c r="E14" s="19">
        <v>6.05</v>
      </c>
      <c r="F14" s="20">
        <v>1</v>
      </c>
      <c r="G14" s="21">
        <f>E14*D14</f>
        <v>24.2</v>
      </c>
      <c r="H14" s="22">
        <v>1420000</v>
      </c>
      <c r="I14" s="23" t="s">
        <v>38</v>
      </c>
      <c r="J14" s="22">
        <f>H14*G14</f>
        <v>34364000</v>
      </c>
      <c r="K14" s="17"/>
      <c r="L14" s="5"/>
      <c r="M14" s="5"/>
      <c r="N14" s="5"/>
      <c r="O14" s="5"/>
      <c r="P14" s="5"/>
      <c r="Q14" s="5"/>
      <c r="R14" s="5"/>
      <c r="S14" s="5"/>
    </row>
    <row r="15" spans="1:19" ht="27.75" customHeight="1">
      <c r="A15" s="90"/>
      <c r="B15" s="125"/>
      <c r="C15" s="88" t="s">
        <v>40</v>
      </c>
      <c r="D15" s="19">
        <v>3.9</v>
      </c>
      <c r="E15" s="19"/>
      <c r="F15" s="20">
        <v>2</v>
      </c>
      <c r="G15" s="21"/>
      <c r="H15" s="22"/>
      <c r="I15" s="23" t="s">
        <v>29</v>
      </c>
      <c r="J15" s="22"/>
      <c r="K15" s="17"/>
      <c r="L15" s="5"/>
      <c r="M15" s="5"/>
      <c r="N15" s="5"/>
      <c r="O15" s="5"/>
      <c r="P15" s="5"/>
      <c r="Q15" s="5"/>
      <c r="R15" s="5"/>
      <c r="S15" s="5"/>
    </row>
    <row r="16" spans="1:19" ht="27.75" customHeight="1">
      <c r="A16" s="90"/>
      <c r="B16" s="125"/>
      <c r="C16" s="88" t="s">
        <v>118</v>
      </c>
      <c r="D16" s="19"/>
      <c r="E16" s="19">
        <v>6.1</v>
      </c>
      <c r="F16" s="20">
        <v>1</v>
      </c>
      <c r="G16" s="21"/>
      <c r="H16" s="22"/>
      <c r="I16" s="23" t="s">
        <v>29</v>
      </c>
      <c r="J16" s="22"/>
      <c r="K16" s="17"/>
      <c r="L16" s="5"/>
      <c r="M16" s="5"/>
      <c r="N16" s="5"/>
      <c r="O16" s="5"/>
      <c r="P16" s="5"/>
      <c r="Q16" s="5"/>
      <c r="R16" s="5"/>
      <c r="S16" s="5"/>
    </row>
    <row r="17" spans="1:34" ht="27.75" customHeight="1">
      <c r="A17" s="90"/>
      <c r="B17" s="125"/>
      <c r="C17" s="88" t="s">
        <v>119</v>
      </c>
      <c r="D17" s="19"/>
      <c r="E17" s="19"/>
      <c r="F17" s="20">
        <v>9</v>
      </c>
      <c r="G17" s="21"/>
      <c r="H17" s="22"/>
      <c r="I17" s="23" t="s">
        <v>42</v>
      </c>
      <c r="J17" s="22"/>
      <c r="K17" s="17"/>
      <c r="L17" s="5"/>
      <c r="M17" s="5"/>
      <c r="N17" s="5"/>
      <c r="O17" s="5"/>
      <c r="P17" s="5"/>
      <c r="Q17" s="5"/>
      <c r="R17" s="5"/>
      <c r="S17" s="5"/>
    </row>
    <row r="18" spans="1:34" ht="27.75" customHeight="1">
      <c r="A18" s="90"/>
      <c r="B18" s="125"/>
      <c r="C18" s="88" t="s">
        <v>43</v>
      </c>
      <c r="D18" s="19"/>
      <c r="E18" s="19"/>
      <c r="F18" s="20">
        <v>1</v>
      </c>
      <c r="G18" s="21"/>
      <c r="H18" s="22"/>
      <c r="I18" s="23" t="s">
        <v>44</v>
      </c>
      <c r="J18" s="22"/>
      <c r="K18" s="17"/>
      <c r="L18" s="5"/>
      <c r="M18" s="5"/>
      <c r="N18" s="5"/>
      <c r="O18" s="5"/>
      <c r="P18" s="5"/>
      <c r="Q18" s="5"/>
      <c r="R18" s="5"/>
      <c r="S18" s="5"/>
    </row>
    <row r="19" spans="1:34" ht="21.75" customHeight="1">
      <c r="A19" s="90"/>
      <c r="B19" s="125"/>
      <c r="C19" s="88" t="s">
        <v>108</v>
      </c>
      <c r="D19" s="54"/>
      <c r="E19" s="54"/>
      <c r="F19" s="20">
        <v>1</v>
      </c>
      <c r="G19" s="21"/>
      <c r="H19" s="22"/>
      <c r="I19" s="23" t="s">
        <v>47</v>
      </c>
      <c r="J19" s="57"/>
      <c r="K19" s="17"/>
      <c r="L19" s="5"/>
      <c r="M19" s="5"/>
      <c r="N19" s="5"/>
      <c r="O19" s="5"/>
      <c r="P19" s="5"/>
      <c r="Q19" s="5"/>
      <c r="R19" s="5"/>
      <c r="S19" s="5"/>
    </row>
    <row r="20" spans="1:34" ht="21.75" customHeight="1">
      <c r="A20" s="90"/>
      <c r="B20" s="125"/>
      <c r="C20" s="88" t="s">
        <v>125</v>
      </c>
      <c r="D20" s="54"/>
      <c r="E20" s="54"/>
      <c r="F20" s="20">
        <v>1</v>
      </c>
      <c r="G20" s="21"/>
      <c r="H20" s="22">
        <v>2500000</v>
      </c>
      <c r="I20" s="23" t="s">
        <v>42</v>
      </c>
      <c r="J20" s="22">
        <f>H20</f>
        <v>2500000</v>
      </c>
      <c r="K20" s="17"/>
      <c r="L20" s="5"/>
      <c r="M20" s="5"/>
      <c r="N20" s="5"/>
      <c r="O20" s="5"/>
      <c r="P20" s="5"/>
      <c r="Q20" s="5"/>
      <c r="R20" s="5"/>
      <c r="S20" s="5"/>
    </row>
    <row r="21" spans="1:34" ht="21.75" customHeight="1">
      <c r="A21" s="90"/>
      <c r="B21" s="125"/>
      <c r="C21" s="88" t="s">
        <v>122</v>
      </c>
      <c r="D21" s="54"/>
      <c r="E21" s="54"/>
      <c r="F21" s="20">
        <v>1</v>
      </c>
      <c r="G21" s="21"/>
      <c r="H21" s="22"/>
      <c r="I21" s="23" t="s">
        <v>44</v>
      </c>
      <c r="J21" s="22">
        <v>4000000</v>
      </c>
      <c r="K21" s="17"/>
      <c r="L21" s="5"/>
      <c r="M21" s="5"/>
      <c r="N21" s="5"/>
      <c r="O21" s="5"/>
      <c r="P21" s="5"/>
      <c r="Q21" s="5"/>
      <c r="R21" s="5"/>
      <c r="S21" s="5"/>
    </row>
    <row r="22" spans="1:34" ht="18">
      <c r="A22" s="90"/>
      <c r="B22" s="112" t="s">
        <v>27</v>
      </c>
      <c r="C22" s="112"/>
      <c r="D22" s="112"/>
      <c r="E22" s="112"/>
      <c r="F22" s="112"/>
      <c r="G22" s="112"/>
      <c r="H22" s="112"/>
      <c r="I22" s="112"/>
      <c r="J22" s="30">
        <f>SUM(J14:J21)</f>
        <v>40864000</v>
      </c>
      <c r="K22" s="12"/>
      <c r="L22" s="63"/>
      <c r="M22" s="5"/>
      <c r="N22" s="5"/>
      <c r="O22" s="5"/>
      <c r="P22" s="5"/>
      <c r="Q22" s="5"/>
      <c r="R22" s="5"/>
      <c r="S22" s="5"/>
    </row>
    <row r="23" spans="1:34">
      <c r="A23" s="7"/>
      <c r="B23" s="2"/>
      <c r="C23" s="2"/>
      <c r="D23" s="2"/>
      <c r="E23" s="2"/>
      <c r="F23" s="31"/>
      <c r="G23" s="113"/>
      <c r="H23" s="113"/>
      <c r="I23" s="32"/>
      <c r="J23" s="33"/>
      <c r="K23" s="12"/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ht="16.5">
      <c r="A24" s="7"/>
      <c r="B24" s="114"/>
      <c r="C24" s="115"/>
      <c r="D24" s="115"/>
      <c r="E24" s="116"/>
      <c r="F24" s="90"/>
      <c r="G24" s="35"/>
      <c r="H24" s="36" t="s">
        <v>124</v>
      </c>
      <c r="I24" s="36"/>
      <c r="J24" s="36"/>
      <c r="K24" s="37"/>
      <c r="L24" s="1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6.5">
      <c r="A25" s="7"/>
      <c r="B25" s="117"/>
      <c r="C25" s="118"/>
      <c r="D25" s="118"/>
      <c r="E25" s="119"/>
      <c r="F25" s="90"/>
      <c r="G25" s="35"/>
      <c r="H25" s="38"/>
      <c r="I25" s="36" t="s">
        <v>20</v>
      </c>
      <c r="J25" s="36"/>
      <c r="K25" s="37"/>
      <c r="L25" s="1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ht="26.25" customHeight="1">
      <c r="A26" s="7"/>
      <c r="B26" s="39"/>
      <c r="C26" s="7"/>
      <c r="D26" s="7"/>
      <c r="E26" s="7"/>
      <c r="F26" s="93"/>
      <c r="G26" s="126" t="s">
        <v>123</v>
      </c>
      <c r="H26" s="126"/>
      <c r="I26" s="126"/>
      <c r="J26" s="127"/>
      <c r="K26" s="37"/>
      <c r="L26" s="12"/>
      <c r="M26" s="5"/>
      <c r="N26" s="5"/>
      <c r="O26" s="5"/>
      <c r="P26" s="5"/>
      <c r="Q26" s="5"/>
      <c r="R26" s="5"/>
      <c r="S26" s="5"/>
      <c r="T26" s="5">
        <v>2409000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16.5">
      <c r="A27" s="7"/>
      <c r="B27" s="44"/>
      <c r="C27" s="7"/>
      <c r="D27" s="5"/>
      <c r="E27" s="5"/>
      <c r="F27" s="45"/>
      <c r="G27" s="46"/>
      <c r="H27" s="46"/>
      <c r="I27" s="46"/>
      <c r="J27" s="46"/>
      <c r="K27" s="37"/>
      <c r="L27" s="1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16.5">
      <c r="A28" s="7"/>
      <c r="B28" s="39"/>
      <c r="C28" s="90"/>
      <c r="D28" s="120"/>
      <c r="E28" s="120"/>
      <c r="F28" s="120"/>
      <c r="G28" s="120"/>
      <c r="H28" s="120"/>
      <c r="I28" s="120"/>
      <c r="J28" s="120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0.25">
      <c r="A29" s="7"/>
      <c r="B29" s="44"/>
      <c r="C29" s="90"/>
      <c r="D29" s="120"/>
      <c r="E29" s="120"/>
      <c r="F29" s="120"/>
      <c r="G29" s="120"/>
      <c r="H29" s="120"/>
      <c r="I29" s="120"/>
      <c r="J29" s="120"/>
      <c r="K29" s="48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15.75" customHeight="1">
      <c r="A30" s="5"/>
      <c r="B30" s="5"/>
      <c r="C30" s="121" t="s">
        <v>26</v>
      </c>
      <c r="D30" s="120"/>
      <c r="E30" s="120"/>
      <c r="F30" s="120"/>
      <c r="G30" s="120"/>
      <c r="H30" s="120"/>
      <c r="I30" s="120"/>
      <c r="J30" s="4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15.75" customHeight="1">
      <c r="A31" s="5"/>
      <c r="B31" s="5"/>
      <c r="C31" s="122"/>
      <c r="D31" s="123"/>
      <c r="E31" s="123"/>
      <c r="F31" s="123"/>
      <c r="G31" s="123"/>
      <c r="H31" s="123"/>
      <c r="I31" s="12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ht="15.75" customHeight="1"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t="15.75" customHeight="1"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</sheetData>
  <mergeCells count="25">
    <mergeCell ref="B24:E24"/>
    <mergeCell ref="B25:E25"/>
    <mergeCell ref="D28:J29"/>
    <mergeCell ref="C30:I31"/>
    <mergeCell ref="B14:B21"/>
    <mergeCell ref="G26:J26"/>
    <mergeCell ref="C11:F11"/>
    <mergeCell ref="G11:H11"/>
    <mergeCell ref="I11:J11"/>
    <mergeCell ref="B22:I22"/>
    <mergeCell ref="G23:H23"/>
    <mergeCell ref="C9:F9"/>
    <mergeCell ref="G9:H9"/>
    <mergeCell ref="I9:J9"/>
    <mergeCell ref="C10:F10"/>
    <mergeCell ref="G10:H10"/>
    <mergeCell ref="I10:J10"/>
    <mergeCell ref="B8:C8"/>
    <mergeCell ref="D8:E8"/>
    <mergeCell ref="G8:H8"/>
    <mergeCell ref="D2:J2"/>
    <mergeCell ref="D3:J3"/>
    <mergeCell ref="D4:J4"/>
    <mergeCell ref="D5:J5"/>
    <mergeCell ref="B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7C9-0278-4484-96DC-8681EC84254B}">
  <dimension ref="A1:AI94"/>
  <sheetViews>
    <sheetView tabSelected="1" topLeftCell="A7" workbookViewId="0">
      <selection activeCell="M28" sqref="M28"/>
    </sheetView>
  </sheetViews>
  <sheetFormatPr defaultColWidth="12.5703125" defaultRowHeight="15.75" customHeight="1"/>
  <cols>
    <col min="1" max="1" width="3.85546875" style="6" customWidth="1"/>
    <col min="2" max="2" width="21.7109375" style="6" customWidth="1"/>
    <col min="3" max="3" width="37.42578125" style="6" customWidth="1"/>
    <col min="4" max="4" width="13.42578125" style="6" customWidth="1"/>
    <col min="5" max="5" width="14.42578125" style="6" customWidth="1"/>
    <col min="6" max="6" width="14.28515625" style="6" customWidth="1"/>
    <col min="7" max="7" width="15.5703125" style="6" customWidth="1"/>
    <col min="8" max="8" width="18" style="6" customWidth="1"/>
    <col min="9" max="9" width="11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20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  <c r="S1" s="5"/>
      <c r="T1" s="5"/>
    </row>
    <row r="2" spans="1:20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  <c r="S2" s="5"/>
      <c r="T2" s="5"/>
    </row>
    <row r="3" spans="1:20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  <c r="S3" s="5"/>
      <c r="T3" s="5"/>
    </row>
    <row r="4" spans="1:20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  <c r="S4" s="5"/>
      <c r="T4" s="5"/>
    </row>
    <row r="5" spans="1:20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  <c r="S5" s="5"/>
      <c r="T5" s="5"/>
    </row>
    <row r="6" spans="1:20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  <c r="S6" s="5"/>
      <c r="T6" s="5"/>
    </row>
    <row r="7" spans="1:20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  <c r="S7" s="5"/>
      <c r="T7" s="5"/>
    </row>
    <row r="8" spans="1:20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  <c r="S8" s="5"/>
      <c r="T8" s="5"/>
    </row>
    <row r="9" spans="1:20">
      <c r="A9" s="7"/>
      <c r="B9" s="11" t="s">
        <v>4</v>
      </c>
      <c r="C9" s="106" t="s">
        <v>30</v>
      </c>
      <c r="D9" s="107"/>
      <c r="E9" s="107"/>
      <c r="F9" s="108"/>
      <c r="G9" s="106" t="s">
        <v>100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  <c r="S12" s="5"/>
      <c r="T12" s="5"/>
    </row>
    <row r="13" spans="1:20" ht="33.75" customHeight="1">
      <c r="A13" s="90"/>
      <c r="B13" s="14" t="s">
        <v>10</v>
      </c>
      <c r="C13" s="15" t="s">
        <v>11</v>
      </c>
      <c r="D13" s="16" t="s">
        <v>12</v>
      </c>
      <c r="E13" s="16" t="s">
        <v>31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  <c r="S13" s="5"/>
      <c r="T13" s="5"/>
    </row>
    <row r="14" spans="1:20" ht="24" customHeight="1">
      <c r="A14" s="90"/>
      <c r="B14" s="124"/>
      <c r="C14" s="88" t="s">
        <v>129</v>
      </c>
      <c r="D14" s="19">
        <v>4</v>
      </c>
      <c r="E14" s="19">
        <v>7</v>
      </c>
      <c r="F14" s="20">
        <v>1</v>
      </c>
      <c r="G14" s="21">
        <f>E14*D14</f>
        <v>28</v>
      </c>
      <c r="H14" s="22">
        <v>1244000</v>
      </c>
      <c r="I14" s="23" t="s">
        <v>38</v>
      </c>
      <c r="J14" s="22">
        <f>H14*G14</f>
        <v>34832000</v>
      </c>
      <c r="K14" s="22">
        <f>J14</f>
        <v>34832000</v>
      </c>
      <c r="L14" s="17"/>
      <c r="M14" s="5"/>
      <c r="N14" s="5"/>
      <c r="O14" s="5"/>
      <c r="P14" s="5"/>
      <c r="Q14" s="5"/>
      <c r="R14" s="5"/>
      <c r="S14" s="5"/>
      <c r="T14" s="5"/>
    </row>
    <row r="15" spans="1:20" ht="24" customHeight="1">
      <c r="A15" s="90"/>
      <c r="B15" s="125"/>
      <c r="C15" s="89" t="s">
        <v>39</v>
      </c>
      <c r="D15" s="54"/>
      <c r="E15" s="54"/>
      <c r="F15" s="55">
        <v>1</v>
      </c>
      <c r="G15" s="56">
        <f>G14</f>
        <v>28</v>
      </c>
      <c r="H15" s="57">
        <f>H14*-15%</f>
        <v>-186600</v>
      </c>
      <c r="I15" s="58" t="s">
        <v>38</v>
      </c>
      <c r="J15" s="57">
        <f>H15*G15</f>
        <v>-5224800</v>
      </c>
      <c r="K15" s="22">
        <f>J15+K14</f>
        <v>29607200</v>
      </c>
      <c r="L15" s="17"/>
      <c r="M15" s="5"/>
      <c r="N15" s="5"/>
      <c r="O15" s="5"/>
      <c r="P15" s="5"/>
      <c r="Q15" s="5"/>
      <c r="R15" s="5"/>
      <c r="S15" s="5"/>
      <c r="T15" s="5"/>
    </row>
    <row r="16" spans="1:20" ht="24" customHeight="1">
      <c r="A16" s="90"/>
      <c r="B16" s="125"/>
      <c r="C16" s="88" t="s">
        <v>40</v>
      </c>
      <c r="D16" s="19">
        <v>3.9</v>
      </c>
      <c r="E16" s="19"/>
      <c r="F16" s="20">
        <v>2</v>
      </c>
      <c r="G16" s="21"/>
      <c r="H16" s="22">
        <v>170000</v>
      </c>
      <c r="I16" s="23" t="s">
        <v>29</v>
      </c>
      <c r="J16" s="22">
        <f>H16*F16*D16</f>
        <v>1326000</v>
      </c>
      <c r="K16" s="22">
        <f t="shared" ref="K16:K20" si="0">J16+K15</f>
        <v>30933200</v>
      </c>
      <c r="L16" s="17"/>
      <c r="M16" s="5"/>
      <c r="N16" s="5"/>
      <c r="O16" s="5"/>
      <c r="P16" s="5"/>
      <c r="Q16" s="5"/>
      <c r="R16" s="5"/>
      <c r="S16" s="5"/>
      <c r="T16" s="5"/>
    </row>
    <row r="17" spans="1:35" ht="24" customHeight="1">
      <c r="A17" s="90"/>
      <c r="B17" s="125"/>
      <c r="C17" s="88" t="s">
        <v>119</v>
      </c>
      <c r="D17" s="19"/>
      <c r="E17" s="19"/>
      <c r="F17" s="20">
        <v>10</v>
      </c>
      <c r="G17" s="21"/>
      <c r="H17" s="22">
        <v>29000</v>
      </c>
      <c r="I17" s="23" t="s">
        <v>42</v>
      </c>
      <c r="J17" s="22">
        <f>H17*F17</f>
        <v>290000</v>
      </c>
      <c r="K17" s="22">
        <f t="shared" si="0"/>
        <v>31223200</v>
      </c>
      <c r="L17" s="17"/>
      <c r="M17" s="5"/>
      <c r="N17" s="5"/>
      <c r="O17" s="5"/>
      <c r="P17" s="5"/>
      <c r="Q17" s="5"/>
      <c r="R17" s="5"/>
      <c r="S17" s="5"/>
      <c r="T17" s="5"/>
    </row>
    <row r="18" spans="1:35" ht="24" customHeight="1">
      <c r="A18" s="94"/>
      <c r="B18" s="125"/>
      <c r="C18" s="88" t="s">
        <v>118</v>
      </c>
      <c r="D18" s="19"/>
      <c r="E18" s="19">
        <v>7.1</v>
      </c>
      <c r="F18" s="20">
        <v>1</v>
      </c>
      <c r="G18" s="21"/>
      <c r="H18" s="22">
        <v>250000</v>
      </c>
      <c r="I18" s="23" t="s">
        <v>29</v>
      </c>
      <c r="J18" s="22">
        <f>H18*E18</f>
        <v>1775000</v>
      </c>
      <c r="K18" s="22">
        <f t="shared" si="0"/>
        <v>32998200</v>
      </c>
      <c r="L18" s="17"/>
      <c r="M18" s="5"/>
      <c r="N18" s="5"/>
      <c r="O18" s="5"/>
      <c r="P18" s="5"/>
      <c r="Q18" s="5"/>
      <c r="R18" s="5"/>
      <c r="S18" s="5"/>
      <c r="T18" s="5"/>
    </row>
    <row r="19" spans="1:35" ht="24" customHeight="1">
      <c r="A19" s="90"/>
      <c r="B19" s="125"/>
      <c r="C19" s="88" t="s">
        <v>43</v>
      </c>
      <c r="D19" s="19"/>
      <c r="E19" s="19"/>
      <c r="F19" s="20">
        <v>1</v>
      </c>
      <c r="G19" s="21"/>
      <c r="H19" s="22">
        <v>80000</v>
      </c>
      <c r="I19" s="23" t="s">
        <v>44</v>
      </c>
      <c r="J19" s="22">
        <f>H19</f>
        <v>80000</v>
      </c>
      <c r="K19" s="22">
        <f t="shared" si="0"/>
        <v>33078200</v>
      </c>
      <c r="L19" s="17"/>
      <c r="M19" s="5"/>
      <c r="N19" s="5"/>
      <c r="O19" s="5"/>
      <c r="P19" s="5"/>
      <c r="Q19" s="5"/>
      <c r="R19" s="5"/>
      <c r="S19" s="5"/>
      <c r="T19" s="5"/>
    </row>
    <row r="20" spans="1:35">
      <c r="A20" s="90"/>
      <c r="B20" s="125"/>
      <c r="C20" s="88" t="s">
        <v>108</v>
      </c>
      <c r="D20" s="54"/>
      <c r="E20" s="54"/>
      <c r="F20" s="20">
        <v>1</v>
      </c>
      <c r="G20" s="21"/>
      <c r="H20" s="22">
        <v>90000</v>
      </c>
      <c r="I20" s="23" t="s">
        <v>47</v>
      </c>
      <c r="J20" s="28">
        <f>H20*F20</f>
        <v>90000</v>
      </c>
      <c r="K20" s="22">
        <f t="shared" si="0"/>
        <v>33168200</v>
      </c>
      <c r="L20" s="17"/>
      <c r="M20" s="5"/>
      <c r="N20" s="5"/>
      <c r="O20" s="5"/>
      <c r="P20" s="5"/>
      <c r="Q20" s="5"/>
      <c r="R20" s="5"/>
      <c r="S20" s="5"/>
      <c r="T20" s="5"/>
    </row>
    <row r="21" spans="1:35" ht="18">
      <c r="A21" s="90"/>
      <c r="B21" s="112" t="s">
        <v>27</v>
      </c>
      <c r="C21" s="112"/>
      <c r="D21" s="112"/>
      <c r="E21" s="112"/>
      <c r="F21" s="112"/>
      <c r="G21" s="112"/>
      <c r="H21" s="112"/>
      <c r="I21" s="112"/>
      <c r="J21" s="30">
        <f>SUM(J14:J20)</f>
        <v>33168200</v>
      </c>
      <c r="K21" s="28"/>
      <c r="L21" s="12"/>
      <c r="M21" s="63"/>
      <c r="N21" s="5"/>
      <c r="O21" s="5"/>
      <c r="P21" s="5"/>
      <c r="Q21" s="5"/>
      <c r="R21" s="5"/>
      <c r="S21" s="5"/>
      <c r="T21" s="5"/>
    </row>
    <row r="22" spans="1:35">
      <c r="A22" s="7"/>
      <c r="B22" s="2"/>
      <c r="C22" s="2"/>
      <c r="D22" s="2"/>
      <c r="E22" s="2"/>
      <c r="F22" s="31"/>
      <c r="G22" s="113"/>
      <c r="H22" s="113"/>
      <c r="I22" s="32"/>
      <c r="J22" s="33"/>
      <c r="K22" s="34"/>
      <c r="L22" s="12"/>
      <c r="M22" s="1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6.5">
      <c r="A23" s="7"/>
      <c r="B23" s="114" t="s">
        <v>18</v>
      </c>
      <c r="C23" s="115"/>
      <c r="D23" s="115"/>
      <c r="E23" s="116"/>
      <c r="F23" s="90"/>
      <c r="G23" s="35"/>
      <c r="H23" s="36" t="s">
        <v>124</v>
      </c>
      <c r="I23" s="36"/>
      <c r="J23" s="36"/>
      <c r="K23" s="36"/>
      <c r="L23" s="37"/>
      <c r="M23" s="1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6.5">
      <c r="A24" s="7"/>
      <c r="B24" s="117" t="s">
        <v>19</v>
      </c>
      <c r="C24" s="118"/>
      <c r="D24" s="118"/>
      <c r="E24" s="119"/>
      <c r="F24" s="90"/>
      <c r="G24" s="35"/>
      <c r="H24" s="38"/>
      <c r="I24" s="36" t="s">
        <v>20</v>
      </c>
      <c r="J24" s="36"/>
      <c r="K24" s="36"/>
      <c r="L24" s="37"/>
      <c r="M24" s="1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26.25">
      <c r="A25" s="7"/>
      <c r="B25" s="39" t="s">
        <v>21</v>
      </c>
      <c r="C25" s="7"/>
      <c r="D25" s="7"/>
      <c r="E25" s="7"/>
      <c r="F25" s="40" t="s">
        <v>22</v>
      </c>
      <c r="G25" s="41"/>
      <c r="H25" s="42"/>
      <c r="I25" s="43"/>
      <c r="J25" s="43"/>
      <c r="K25" s="34"/>
      <c r="L25" s="37"/>
      <c r="M25" s="12"/>
      <c r="N25" s="5"/>
      <c r="O25" s="5"/>
      <c r="P25" s="5"/>
      <c r="Q25" s="5"/>
      <c r="R25" s="5"/>
      <c r="S25" s="5"/>
      <c r="T25" s="5"/>
      <c r="U25" s="5">
        <v>2409000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6.5">
      <c r="A26" s="7"/>
      <c r="B26" s="44" t="s">
        <v>23</v>
      </c>
      <c r="C26" s="7"/>
      <c r="D26" s="5"/>
      <c r="E26" s="5"/>
      <c r="F26" s="45"/>
      <c r="G26" s="46"/>
      <c r="H26" s="46"/>
      <c r="I26" s="46"/>
      <c r="J26" s="46"/>
      <c r="K26" s="34"/>
      <c r="L26" s="37"/>
      <c r="M26" s="1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6.5">
      <c r="A27" s="7"/>
      <c r="B27" s="39" t="s">
        <v>24</v>
      </c>
      <c r="C27" s="90"/>
      <c r="D27" s="120"/>
      <c r="E27" s="120"/>
      <c r="F27" s="120"/>
      <c r="G27" s="120"/>
      <c r="H27" s="120"/>
      <c r="I27" s="120"/>
      <c r="J27" s="120"/>
      <c r="K27" s="4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20.25">
      <c r="A28" s="7"/>
      <c r="B28" s="44" t="s">
        <v>25</v>
      </c>
      <c r="C28" s="90"/>
      <c r="D28" s="120"/>
      <c r="E28" s="120"/>
      <c r="F28" s="120"/>
      <c r="G28" s="120"/>
      <c r="H28" s="120"/>
      <c r="I28" s="120"/>
      <c r="J28" s="120"/>
      <c r="K28" s="48"/>
      <c r="L28" s="4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.75" customHeight="1">
      <c r="A29" s="5"/>
      <c r="B29" s="5"/>
      <c r="C29" s="121" t="s">
        <v>26</v>
      </c>
      <c r="D29" s="120"/>
      <c r="E29" s="120"/>
      <c r="F29" s="120"/>
      <c r="G29" s="120"/>
      <c r="H29" s="120"/>
      <c r="I29" s="120"/>
      <c r="J29" s="4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.75" customHeight="1">
      <c r="A30" s="5"/>
      <c r="B30" s="5"/>
      <c r="C30" s="122"/>
      <c r="D30" s="123"/>
      <c r="E30" s="123"/>
      <c r="F30" s="123"/>
      <c r="G30" s="123"/>
      <c r="H30" s="123"/>
      <c r="I30" s="12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.75" customHeight="1"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.75" customHeight="1"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</sheetData>
  <mergeCells count="24">
    <mergeCell ref="D27:J28"/>
    <mergeCell ref="C29:I30"/>
    <mergeCell ref="B14:B20"/>
    <mergeCell ref="B21:I21"/>
    <mergeCell ref="G22:H22"/>
    <mergeCell ref="B23:E23"/>
    <mergeCell ref="B24:E24"/>
    <mergeCell ref="C11:F11"/>
    <mergeCell ref="G11:H11"/>
    <mergeCell ref="I11:J11"/>
    <mergeCell ref="C9:F9"/>
    <mergeCell ref="G9:H9"/>
    <mergeCell ref="I9:J9"/>
    <mergeCell ref="C10:F10"/>
    <mergeCell ref="G10:H10"/>
    <mergeCell ref="I10:J10"/>
    <mergeCell ref="B8:C8"/>
    <mergeCell ref="D8:E8"/>
    <mergeCell ref="G8:H8"/>
    <mergeCell ref="D2:J2"/>
    <mergeCell ref="D3:J3"/>
    <mergeCell ref="D4:J4"/>
    <mergeCell ref="D5:J5"/>
    <mergeCell ref="B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924E-2EA0-4DD5-9338-CABD0511F9B6}">
  <dimension ref="A1:AI99"/>
  <sheetViews>
    <sheetView zoomScale="80" zoomScaleNormal="80" workbookViewId="0">
      <selection activeCell="C19" sqref="C19"/>
    </sheetView>
  </sheetViews>
  <sheetFormatPr defaultColWidth="12.5703125" defaultRowHeight="15.75" customHeight="1"/>
  <cols>
    <col min="1" max="1" width="3.85546875" style="6" customWidth="1"/>
    <col min="2" max="2" width="21.7109375" style="6" customWidth="1"/>
    <col min="3" max="3" width="67.7109375" style="6" customWidth="1"/>
    <col min="4" max="4" width="13.42578125" style="6" customWidth="1"/>
    <col min="5" max="5" width="14.42578125" style="6" customWidth="1"/>
    <col min="6" max="6" width="14.28515625" style="6" customWidth="1"/>
    <col min="7" max="7" width="15.5703125" style="6" customWidth="1"/>
    <col min="8" max="8" width="18" style="6" customWidth="1"/>
    <col min="9" max="9" width="11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20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  <c r="S1" s="5"/>
      <c r="T1" s="5"/>
    </row>
    <row r="2" spans="1:20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  <c r="S2" s="5"/>
      <c r="T2" s="5"/>
    </row>
    <row r="3" spans="1:20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  <c r="S3" s="5"/>
      <c r="T3" s="5"/>
    </row>
    <row r="4" spans="1:20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  <c r="S4" s="5"/>
      <c r="T4" s="5"/>
    </row>
    <row r="5" spans="1:20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  <c r="S5" s="5"/>
      <c r="T5" s="5"/>
    </row>
    <row r="6" spans="1:20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  <c r="S6" s="5"/>
      <c r="T6" s="5"/>
    </row>
    <row r="7" spans="1:20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  <c r="S7" s="5"/>
      <c r="T7" s="5"/>
    </row>
    <row r="8" spans="1:20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  <c r="S8" s="5"/>
      <c r="T8" s="5"/>
    </row>
    <row r="9" spans="1:20">
      <c r="A9" s="7"/>
      <c r="B9" s="11" t="s">
        <v>4</v>
      </c>
      <c r="C9" s="106" t="s">
        <v>30</v>
      </c>
      <c r="D9" s="107"/>
      <c r="E9" s="107"/>
      <c r="F9" s="108"/>
      <c r="G9" s="106" t="s">
        <v>100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  <c r="S12" s="5"/>
      <c r="T12" s="5"/>
    </row>
    <row r="13" spans="1:20" ht="33.75" customHeight="1">
      <c r="A13" s="13"/>
      <c r="B13" s="14" t="s">
        <v>10</v>
      </c>
      <c r="C13" s="15" t="s">
        <v>11</v>
      </c>
      <c r="D13" s="16" t="s">
        <v>12</v>
      </c>
      <c r="E13" s="16" t="s">
        <v>31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  <c r="S13" s="5"/>
      <c r="T13" s="5"/>
    </row>
    <row r="14" spans="1:20" ht="39" customHeight="1">
      <c r="A14" s="13"/>
      <c r="B14" s="124"/>
      <c r="C14" s="88" t="s">
        <v>109</v>
      </c>
      <c r="D14" s="19">
        <v>3.5</v>
      </c>
      <c r="E14" s="19">
        <v>4.9000000000000004</v>
      </c>
      <c r="F14" s="20">
        <v>2</v>
      </c>
      <c r="G14" s="21">
        <f>E14*D14</f>
        <v>17.150000000000002</v>
      </c>
      <c r="H14" s="22">
        <v>1490000</v>
      </c>
      <c r="I14" s="23" t="s">
        <v>38</v>
      </c>
      <c r="J14" s="22">
        <f>H14*G14*F14</f>
        <v>51107000.000000007</v>
      </c>
      <c r="K14" s="22">
        <f>J14</f>
        <v>51107000.000000007</v>
      </c>
      <c r="L14" s="17"/>
      <c r="M14" s="5"/>
      <c r="N14" s="5"/>
      <c r="O14" s="5"/>
      <c r="P14" s="5"/>
      <c r="Q14" s="5"/>
      <c r="R14" s="5"/>
      <c r="S14" s="5"/>
      <c r="T14" s="5"/>
    </row>
    <row r="15" spans="1:20" ht="39" customHeight="1">
      <c r="A15" s="86"/>
      <c r="B15" s="125"/>
      <c r="C15" s="88" t="s">
        <v>110</v>
      </c>
      <c r="D15" s="19">
        <v>3.5</v>
      </c>
      <c r="E15" s="19">
        <v>2.56</v>
      </c>
      <c r="F15" s="20">
        <v>1</v>
      </c>
      <c r="G15" s="21">
        <f>E15*D15</f>
        <v>8.9600000000000009</v>
      </c>
      <c r="H15" s="22">
        <v>1490000</v>
      </c>
      <c r="I15" s="23" t="s">
        <v>38</v>
      </c>
      <c r="J15" s="22">
        <f>H15*G15</f>
        <v>13350400.000000002</v>
      </c>
      <c r="K15" s="22">
        <f>J15+K14</f>
        <v>64457400.000000007</v>
      </c>
      <c r="L15" s="17"/>
      <c r="M15" s="5"/>
      <c r="N15" s="5"/>
      <c r="O15" s="5"/>
      <c r="P15" s="5"/>
      <c r="Q15" s="5"/>
      <c r="R15" s="5"/>
      <c r="S15" s="5"/>
      <c r="T15" s="5"/>
    </row>
    <row r="16" spans="1:20" ht="39" customHeight="1">
      <c r="A16" s="52"/>
      <c r="B16" s="125"/>
      <c r="C16" s="88" t="s">
        <v>111</v>
      </c>
      <c r="D16" s="19">
        <v>3.5</v>
      </c>
      <c r="E16" s="19">
        <v>4.76</v>
      </c>
      <c r="F16" s="20">
        <v>1</v>
      </c>
      <c r="G16" s="21">
        <f>E16*D16</f>
        <v>16.66</v>
      </c>
      <c r="H16" s="22">
        <v>1490000</v>
      </c>
      <c r="I16" s="23" t="s">
        <v>38</v>
      </c>
      <c r="J16" s="22">
        <f t="shared" ref="J16" si="0">H16*G16</f>
        <v>24823400</v>
      </c>
      <c r="K16" s="22">
        <f t="shared" ref="K16:K25" si="1">J16+K15</f>
        <v>89280800</v>
      </c>
      <c r="L16" s="17"/>
      <c r="M16" s="5"/>
      <c r="N16" s="5"/>
      <c r="O16" s="5"/>
      <c r="P16" s="5"/>
      <c r="Q16" s="5"/>
      <c r="R16" s="5"/>
      <c r="S16" s="5"/>
      <c r="T16" s="5"/>
    </row>
    <row r="17" spans="1:35" ht="50.25" customHeight="1">
      <c r="A17" s="52"/>
      <c r="B17" s="125"/>
      <c r="C17" s="88" t="s">
        <v>114</v>
      </c>
      <c r="D17" s="19">
        <v>3.5</v>
      </c>
      <c r="E17" s="19">
        <v>6.4</v>
      </c>
      <c r="F17" s="20">
        <v>2</v>
      </c>
      <c r="G17" s="21">
        <f>E17*D17</f>
        <v>22.400000000000002</v>
      </c>
      <c r="H17" s="22">
        <v>1490000</v>
      </c>
      <c r="I17" s="23" t="s">
        <v>38</v>
      </c>
      <c r="J17" s="22">
        <f>H17*G17*F17</f>
        <v>66752000.000000007</v>
      </c>
      <c r="K17" s="22">
        <f t="shared" si="1"/>
        <v>156032800</v>
      </c>
      <c r="L17" s="17"/>
      <c r="M17" s="5"/>
      <c r="N17" s="5"/>
      <c r="O17" s="5"/>
      <c r="P17" s="5"/>
      <c r="Q17" s="5"/>
      <c r="R17" s="5"/>
      <c r="S17" s="5"/>
      <c r="T17" s="5"/>
    </row>
    <row r="18" spans="1:35" ht="39" customHeight="1">
      <c r="A18" s="52"/>
      <c r="B18" s="125"/>
      <c r="C18" s="88" t="s">
        <v>112</v>
      </c>
      <c r="D18" s="19">
        <v>3.5</v>
      </c>
      <c r="E18" s="19">
        <v>4.01</v>
      </c>
      <c r="F18" s="20">
        <v>1</v>
      </c>
      <c r="G18" s="21">
        <f>E18*D18</f>
        <v>14.035</v>
      </c>
      <c r="H18" s="22">
        <v>1490000</v>
      </c>
      <c r="I18" s="23" t="s">
        <v>38</v>
      </c>
      <c r="J18" s="22">
        <f t="shared" ref="J18" si="2">H18*G18</f>
        <v>20912150</v>
      </c>
      <c r="K18" s="22">
        <f t="shared" si="1"/>
        <v>176944950</v>
      </c>
      <c r="L18" s="17"/>
      <c r="M18" s="5"/>
      <c r="N18" s="5"/>
      <c r="O18" s="5"/>
      <c r="P18" s="5"/>
      <c r="Q18" s="5"/>
      <c r="R18" s="5"/>
      <c r="S18" s="5"/>
      <c r="T18" s="5"/>
    </row>
    <row r="19" spans="1:35" ht="47.25">
      <c r="A19" s="13"/>
      <c r="B19" s="125"/>
      <c r="C19" s="87" t="s">
        <v>115</v>
      </c>
      <c r="D19" s="25">
        <v>3.2</v>
      </c>
      <c r="E19" s="25">
        <v>5.15</v>
      </c>
      <c r="F19" s="26">
        <v>3</v>
      </c>
      <c r="G19" s="27">
        <f>E19*D19*F19</f>
        <v>49.44</v>
      </c>
      <c r="H19" s="28">
        <v>1066000</v>
      </c>
      <c r="I19" s="29" t="s">
        <v>38</v>
      </c>
      <c r="J19" s="28">
        <f>H19*F19*G19</f>
        <v>158109120</v>
      </c>
      <c r="K19" s="22">
        <f t="shared" si="1"/>
        <v>335054070</v>
      </c>
      <c r="L19" s="17"/>
      <c r="M19" s="5"/>
      <c r="N19" s="5"/>
      <c r="O19" s="5"/>
      <c r="P19" s="5"/>
      <c r="Q19" s="5"/>
      <c r="R19" s="5"/>
      <c r="S19" s="5"/>
      <c r="T19" s="5"/>
    </row>
    <row r="20" spans="1:35" ht="21.75" customHeight="1">
      <c r="A20" s="86"/>
      <c r="B20" s="125"/>
      <c r="C20" s="89" t="s">
        <v>39</v>
      </c>
      <c r="D20" s="54"/>
      <c r="E20" s="54"/>
      <c r="F20" s="55">
        <v>3</v>
      </c>
      <c r="G20" s="56">
        <f>G19</f>
        <v>49.44</v>
      </c>
      <c r="H20" s="57">
        <f>H19*-15%</f>
        <v>-159900</v>
      </c>
      <c r="I20" s="58" t="s">
        <v>38</v>
      </c>
      <c r="J20" s="57">
        <f>H20*G20</f>
        <v>-7905456</v>
      </c>
      <c r="K20" s="22">
        <f t="shared" si="1"/>
        <v>327148614</v>
      </c>
      <c r="L20" s="17"/>
      <c r="M20" s="5"/>
      <c r="N20" s="5"/>
      <c r="O20" s="5"/>
      <c r="P20" s="5"/>
      <c r="Q20" s="5"/>
      <c r="R20" s="5"/>
      <c r="S20" s="5"/>
      <c r="T20" s="5"/>
    </row>
    <row r="21" spans="1:35" ht="21.75" customHeight="1">
      <c r="A21" s="86"/>
      <c r="B21" s="125"/>
      <c r="C21" s="87" t="s">
        <v>43</v>
      </c>
      <c r="D21" s="25"/>
      <c r="E21" s="25"/>
      <c r="F21" s="26">
        <v>3</v>
      </c>
      <c r="G21" s="27"/>
      <c r="H21" s="28">
        <v>80000</v>
      </c>
      <c r="I21" s="29" t="s">
        <v>44</v>
      </c>
      <c r="J21" s="28">
        <f>H21*F21</f>
        <v>240000</v>
      </c>
      <c r="K21" s="22">
        <f t="shared" si="1"/>
        <v>327388614</v>
      </c>
      <c r="L21" s="17"/>
      <c r="M21" s="5"/>
      <c r="N21" s="5"/>
      <c r="O21" s="5"/>
      <c r="P21" s="5"/>
      <c r="Q21" s="5"/>
      <c r="R21" s="5"/>
      <c r="S21" s="5"/>
      <c r="T21" s="5"/>
    </row>
    <row r="22" spans="1:35" ht="21.75" customHeight="1">
      <c r="A22" s="86"/>
      <c r="B22" s="125"/>
      <c r="C22" s="87" t="s">
        <v>40</v>
      </c>
      <c r="D22" s="25">
        <v>3.1</v>
      </c>
      <c r="E22" s="25"/>
      <c r="F22" s="26">
        <v>6</v>
      </c>
      <c r="G22" s="27"/>
      <c r="H22" s="28">
        <v>165000</v>
      </c>
      <c r="I22" s="29" t="s">
        <v>29</v>
      </c>
      <c r="J22" s="28">
        <f>H22*F22*D22</f>
        <v>3069000</v>
      </c>
      <c r="K22" s="22">
        <f t="shared" si="1"/>
        <v>330457614</v>
      </c>
      <c r="L22" s="17"/>
      <c r="M22" s="5"/>
      <c r="N22" s="5"/>
      <c r="O22" s="5"/>
      <c r="P22" s="5"/>
      <c r="Q22" s="5"/>
      <c r="R22" s="5"/>
      <c r="S22" s="5"/>
      <c r="T22" s="5"/>
    </row>
    <row r="23" spans="1:35" ht="21.75" customHeight="1">
      <c r="A23" s="86"/>
      <c r="B23" s="125"/>
      <c r="C23" s="87" t="s">
        <v>116</v>
      </c>
      <c r="D23" s="25"/>
      <c r="E23" s="25">
        <v>5.3</v>
      </c>
      <c r="F23" s="26">
        <v>3</v>
      </c>
      <c r="G23" s="27"/>
      <c r="H23" s="28">
        <v>140000</v>
      </c>
      <c r="I23" s="29" t="s">
        <v>29</v>
      </c>
      <c r="J23" s="28">
        <f>H23*F23*E23</f>
        <v>2226000</v>
      </c>
      <c r="K23" s="22">
        <f t="shared" si="1"/>
        <v>332683614</v>
      </c>
      <c r="L23" s="17"/>
      <c r="M23" s="5"/>
      <c r="N23" s="5"/>
      <c r="O23" s="5"/>
      <c r="P23" s="5"/>
      <c r="Q23" s="5"/>
      <c r="R23" s="5"/>
      <c r="S23" s="5"/>
      <c r="T23" s="5"/>
    </row>
    <row r="24" spans="1:35" ht="21.75" customHeight="1">
      <c r="A24" s="86"/>
      <c r="B24" s="125"/>
      <c r="C24" s="87" t="s">
        <v>46</v>
      </c>
      <c r="D24" s="25"/>
      <c r="E24" s="25"/>
      <c r="F24" s="26">
        <v>3</v>
      </c>
      <c r="G24" s="27"/>
      <c r="H24" s="28">
        <v>90000</v>
      </c>
      <c r="I24" s="29" t="s">
        <v>47</v>
      </c>
      <c r="J24" s="28">
        <f>H24*F24</f>
        <v>270000</v>
      </c>
      <c r="K24" s="22">
        <f t="shared" si="1"/>
        <v>332953614</v>
      </c>
      <c r="L24" s="17"/>
      <c r="M24" s="5"/>
      <c r="N24" s="5"/>
      <c r="O24" s="5"/>
      <c r="P24" s="5"/>
      <c r="Q24" s="5"/>
      <c r="R24" s="5"/>
      <c r="S24" s="5"/>
      <c r="T24" s="5"/>
    </row>
    <row r="25" spans="1:35" ht="21.75" customHeight="1">
      <c r="A25" s="13"/>
      <c r="B25" s="125"/>
      <c r="C25" s="24" t="s">
        <v>70</v>
      </c>
      <c r="D25" s="25"/>
      <c r="E25" s="25"/>
      <c r="F25" s="26">
        <v>24</v>
      </c>
      <c r="G25" s="27"/>
      <c r="H25" s="28">
        <v>24000</v>
      </c>
      <c r="I25" s="29" t="s">
        <v>42</v>
      </c>
      <c r="J25" s="28">
        <f>H25*F25</f>
        <v>576000</v>
      </c>
      <c r="K25" s="22">
        <f t="shared" si="1"/>
        <v>333529614</v>
      </c>
      <c r="L25" s="17"/>
      <c r="M25" s="5"/>
      <c r="N25" s="91">
        <f>SUM(J19:J25)</f>
        <v>156584664</v>
      </c>
      <c r="O25" s="5">
        <f>G19*F19</f>
        <v>148.32</v>
      </c>
      <c r="P25" s="63">
        <f>N25/O25</f>
        <v>1055721.8446601941</v>
      </c>
      <c r="Q25" s="5"/>
      <c r="R25" s="5"/>
      <c r="S25" s="5"/>
      <c r="T25" s="5"/>
    </row>
    <row r="26" spans="1:35" ht="18">
      <c r="A26" s="13"/>
      <c r="B26" s="112" t="s">
        <v>27</v>
      </c>
      <c r="C26" s="112"/>
      <c r="D26" s="112"/>
      <c r="E26" s="112"/>
      <c r="F26" s="112"/>
      <c r="G26" s="112"/>
      <c r="H26" s="112"/>
      <c r="I26" s="112"/>
      <c r="J26" s="30">
        <f>SUM(J14:J25)</f>
        <v>333529614</v>
      </c>
      <c r="K26" s="28"/>
      <c r="L26" s="12"/>
      <c r="M26" s="63"/>
      <c r="N26" s="5"/>
      <c r="O26" s="5"/>
      <c r="P26" s="5"/>
      <c r="Q26" s="5"/>
      <c r="R26" s="5"/>
      <c r="S26" s="5"/>
      <c r="T26" s="5"/>
    </row>
    <row r="27" spans="1:35">
      <c r="A27" s="7"/>
      <c r="B27" s="2"/>
      <c r="C27" s="2"/>
      <c r="D27" s="2"/>
      <c r="E27" s="2"/>
      <c r="F27" s="31"/>
      <c r="G27" s="113"/>
      <c r="H27" s="113"/>
      <c r="I27" s="32"/>
      <c r="J27" s="33"/>
      <c r="K27" s="34"/>
      <c r="L27" s="12"/>
      <c r="M27" s="1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6.5">
      <c r="A28" s="7"/>
      <c r="B28" s="114" t="s">
        <v>18</v>
      </c>
      <c r="C28" s="115"/>
      <c r="D28" s="115"/>
      <c r="E28" s="116"/>
      <c r="F28" s="13"/>
      <c r="G28" s="35"/>
      <c r="H28" s="36" t="s">
        <v>113</v>
      </c>
      <c r="I28" s="36"/>
      <c r="J28" s="36"/>
      <c r="K28" s="36"/>
      <c r="L28" s="37"/>
      <c r="M28" s="12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6.5">
      <c r="A29" s="7"/>
      <c r="B29" s="117" t="s">
        <v>19</v>
      </c>
      <c r="C29" s="118"/>
      <c r="D29" s="118"/>
      <c r="E29" s="119"/>
      <c r="F29" s="13"/>
      <c r="G29" s="35"/>
      <c r="H29" s="38"/>
      <c r="I29" s="36" t="s">
        <v>20</v>
      </c>
      <c r="J29" s="36"/>
      <c r="K29" s="36"/>
      <c r="L29" s="37"/>
      <c r="M29" s="12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26.25">
      <c r="A30" s="7"/>
      <c r="B30" s="39" t="s">
        <v>21</v>
      </c>
      <c r="C30" s="7"/>
      <c r="D30" s="7"/>
      <c r="E30" s="7"/>
      <c r="F30" s="40" t="s">
        <v>22</v>
      </c>
      <c r="G30" s="41"/>
      <c r="H30" s="42"/>
      <c r="I30" s="43"/>
      <c r="J30" s="43"/>
      <c r="K30" s="34"/>
      <c r="L30" s="37"/>
      <c r="M30" s="12"/>
      <c r="N30" s="5"/>
      <c r="O30" s="5"/>
      <c r="P30" s="5"/>
      <c r="Q30" s="5"/>
      <c r="R30" s="5"/>
      <c r="S30" s="5"/>
      <c r="T30" s="5"/>
      <c r="U30" s="5">
        <v>2409000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6.5">
      <c r="A31" s="7"/>
      <c r="B31" s="44" t="s">
        <v>23</v>
      </c>
      <c r="C31" s="7"/>
      <c r="D31" s="5"/>
      <c r="E31" s="5"/>
      <c r="F31" s="45"/>
      <c r="G31" s="46"/>
      <c r="H31" s="46"/>
      <c r="I31" s="46"/>
      <c r="J31" s="46"/>
      <c r="K31" s="34"/>
      <c r="L31" s="37"/>
      <c r="M31" s="12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6.5">
      <c r="A32" s="7"/>
      <c r="B32" s="39" t="s">
        <v>24</v>
      </c>
      <c r="C32" s="13"/>
      <c r="D32" s="120"/>
      <c r="E32" s="120"/>
      <c r="F32" s="120"/>
      <c r="G32" s="120"/>
      <c r="H32" s="120"/>
      <c r="I32" s="120"/>
      <c r="J32" s="120"/>
      <c r="K32" s="4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20.25">
      <c r="A33" s="7"/>
      <c r="B33" s="44" t="s">
        <v>25</v>
      </c>
      <c r="C33" s="13"/>
      <c r="D33" s="120"/>
      <c r="E33" s="120"/>
      <c r="F33" s="120"/>
      <c r="G33" s="120"/>
      <c r="H33" s="120"/>
      <c r="I33" s="120"/>
      <c r="J33" s="120"/>
      <c r="K33" s="48"/>
      <c r="L33" s="4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.75" customHeight="1">
      <c r="A34" s="5"/>
      <c r="B34" s="5"/>
      <c r="C34" s="121" t="s">
        <v>26</v>
      </c>
      <c r="D34" s="120"/>
      <c r="E34" s="120"/>
      <c r="F34" s="120"/>
      <c r="G34" s="120"/>
      <c r="H34" s="120"/>
      <c r="I34" s="120"/>
      <c r="J34" s="4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.75" customHeight="1">
      <c r="A35" s="5"/>
      <c r="B35" s="5"/>
      <c r="C35" s="122"/>
      <c r="D35" s="123"/>
      <c r="E35" s="123"/>
      <c r="F35" s="123"/>
      <c r="G35" s="123"/>
      <c r="H35" s="123"/>
      <c r="I35" s="12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5.75" customHeight="1"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5.75" customHeight="1"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</sheetData>
  <mergeCells count="24">
    <mergeCell ref="C9:F9"/>
    <mergeCell ref="G9:H9"/>
    <mergeCell ref="I9:J9"/>
    <mergeCell ref="C10:F10"/>
    <mergeCell ref="G10:H10"/>
    <mergeCell ref="I10:J10"/>
    <mergeCell ref="B8:C8"/>
    <mergeCell ref="D8:E8"/>
    <mergeCell ref="G8:H8"/>
    <mergeCell ref="D2:J2"/>
    <mergeCell ref="D3:J3"/>
    <mergeCell ref="D4:J4"/>
    <mergeCell ref="D5:J5"/>
    <mergeCell ref="B7:J7"/>
    <mergeCell ref="C11:F11"/>
    <mergeCell ref="G11:H11"/>
    <mergeCell ref="I11:J11"/>
    <mergeCell ref="B26:I26"/>
    <mergeCell ref="G27:H27"/>
    <mergeCell ref="B28:E28"/>
    <mergeCell ref="B29:E29"/>
    <mergeCell ref="D32:J33"/>
    <mergeCell ref="C34:I35"/>
    <mergeCell ref="B14:B2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2515-D7B0-4BB1-981C-9EC575A8B452}">
  <dimension ref="A1:AI93"/>
  <sheetViews>
    <sheetView topLeftCell="A4" workbookViewId="0">
      <selection activeCell="J19" sqref="J19"/>
    </sheetView>
  </sheetViews>
  <sheetFormatPr defaultColWidth="12.5703125" defaultRowHeight="15.75" customHeight="1"/>
  <cols>
    <col min="1" max="1" width="3.85546875" style="6" customWidth="1"/>
    <col min="2" max="2" width="21.7109375" style="6" customWidth="1"/>
    <col min="3" max="3" width="37.42578125" style="6" customWidth="1"/>
    <col min="4" max="4" width="13.42578125" style="6" customWidth="1"/>
    <col min="5" max="5" width="14.42578125" style="6" customWidth="1"/>
    <col min="6" max="6" width="14.28515625" style="6" customWidth="1"/>
    <col min="7" max="7" width="15.5703125" style="6" customWidth="1"/>
    <col min="8" max="8" width="18" style="6" customWidth="1"/>
    <col min="9" max="9" width="11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20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  <c r="S1" s="5"/>
      <c r="T1" s="5"/>
    </row>
    <row r="2" spans="1:20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  <c r="S2" s="5"/>
      <c r="T2" s="5"/>
    </row>
    <row r="3" spans="1:20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  <c r="S3" s="5"/>
      <c r="T3" s="5"/>
    </row>
    <row r="4" spans="1:20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  <c r="S4" s="5"/>
      <c r="T4" s="5"/>
    </row>
    <row r="5" spans="1:20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  <c r="S5" s="5"/>
      <c r="T5" s="5"/>
    </row>
    <row r="6" spans="1:20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  <c r="S6" s="5"/>
      <c r="T6" s="5"/>
    </row>
    <row r="7" spans="1:20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  <c r="S7" s="5"/>
      <c r="T7" s="5"/>
    </row>
    <row r="8" spans="1:20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  <c r="S8" s="5"/>
      <c r="T8" s="5"/>
    </row>
    <row r="9" spans="1:20">
      <c r="A9" s="7"/>
      <c r="B9" s="11" t="s">
        <v>4</v>
      </c>
      <c r="C9" s="106" t="s">
        <v>30</v>
      </c>
      <c r="D9" s="107"/>
      <c r="E9" s="107"/>
      <c r="F9" s="108"/>
      <c r="G9" s="106" t="s">
        <v>100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  <c r="S12" s="5"/>
      <c r="T12" s="5"/>
    </row>
    <row r="13" spans="1:20" ht="33.75" customHeight="1">
      <c r="A13" s="92"/>
      <c r="B13" s="14" t="s">
        <v>10</v>
      </c>
      <c r="C13" s="15" t="s">
        <v>11</v>
      </c>
      <c r="D13" s="16" t="s">
        <v>12</v>
      </c>
      <c r="E13" s="16" t="s">
        <v>127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  <c r="S13" s="5"/>
      <c r="T13" s="5"/>
    </row>
    <row r="14" spans="1:20" ht="24" customHeight="1">
      <c r="A14" s="92"/>
      <c r="B14" s="124"/>
      <c r="C14" s="88" t="s">
        <v>126</v>
      </c>
      <c r="D14" s="19">
        <v>2.9</v>
      </c>
      <c r="E14" s="19">
        <v>4.21</v>
      </c>
      <c r="F14" s="20">
        <v>1</v>
      </c>
      <c r="G14" s="21">
        <f>E14*D14</f>
        <v>12.209</v>
      </c>
      <c r="H14" s="22">
        <v>1352000</v>
      </c>
      <c r="I14" s="23" t="s">
        <v>38</v>
      </c>
      <c r="J14" s="22">
        <f>H14*G14</f>
        <v>16506568</v>
      </c>
      <c r="K14" s="22">
        <f>J14</f>
        <v>16506568</v>
      </c>
      <c r="L14" s="17"/>
      <c r="M14" s="5"/>
      <c r="N14" s="5"/>
      <c r="O14" s="5"/>
      <c r="P14" s="5"/>
      <c r="Q14" s="5"/>
      <c r="R14" s="5"/>
      <c r="S14" s="5"/>
      <c r="T14" s="5"/>
    </row>
    <row r="15" spans="1:20" ht="24" customHeight="1">
      <c r="A15" s="92"/>
      <c r="B15" s="125"/>
      <c r="C15" s="89" t="s">
        <v>39</v>
      </c>
      <c r="D15" s="54"/>
      <c r="E15" s="54"/>
      <c r="F15" s="55">
        <v>1</v>
      </c>
      <c r="G15" s="56">
        <f>G14</f>
        <v>12.209</v>
      </c>
      <c r="H15" s="57">
        <f>H14*-15%</f>
        <v>-202800</v>
      </c>
      <c r="I15" s="58" t="s">
        <v>38</v>
      </c>
      <c r="J15" s="57">
        <f>H15*G15</f>
        <v>-2475985.1999999997</v>
      </c>
      <c r="K15" s="57">
        <f>J15+K14</f>
        <v>14030582.800000001</v>
      </c>
      <c r="L15" s="17"/>
      <c r="M15" s="5"/>
      <c r="N15" s="5"/>
      <c r="O15" s="5"/>
      <c r="P15" s="5"/>
      <c r="Q15" s="5"/>
      <c r="R15" s="5"/>
      <c r="S15" s="5"/>
      <c r="T15" s="5"/>
    </row>
    <row r="16" spans="1:20" ht="24" customHeight="1">
      <c r="A16" s="92"/>
      <c r="B16" s="125"/>
      <c r="C16" s="88" t="s">
        <v>40</v>
      </c>
      <c r="D16" s="19">
        <v>2.8</v>
      </c>
      <c r="E16" s="19"/>
      <c r="F16" s="20">
        <v>2</v>
      </c>
      <c r="G16" s="21"/>
      <c r="H16" s="22">
        <v>165000</v>
      </c>
      <c r="I16" s="23" t="s">
        <v>29</v>
      </c>
      <c r="J16" s="22">
        <f>H16*F16*D16</f>
        <v>923999.99999999988</v>
      </c>
      <c r="K16" s="22">
        <f>J16+K14</f>
        <v>17430568</v>
      </c>
      <c r="L16" s="17"/>
      <c r="M16" s="5"/>
      <c r="N16" s="5"/>
      <c r="O16" s="5"/>
      <c r="P16" s="5"/>
      <c r="Q16" s="5"/>
      <c r="R16" s="5"/>
      <c r="S16" s="5"/>
      <c r="T16" s="5"/>
    </row>
    <row r="17" spans="1:35" ht="24" customHeight="1">
      <c r="A17" s="92"/>
      <c r="B17" s="125"/>
      <c r="C17" s="88" t="s">
        <v>128</v>
      </c>
      <c r="D17" s="19"/>
      <c r="E17" s="19"/>
      <c r="F17" s="20">
        <v>6</v>
      </c>
      <c r="G17" s="21"/>
      <c r="H17" s="22">
        <v>24000</v>
      </c>
      <c r="I17" s="23" t="s">
        <v>42</v>
      </c>
      <c r="J17" s="22">
        <f>H17*F17</f>
        <v>144000</v>
      </c>
      <c r="K17" s="22">
        <f>J17+K15</f>
        <v>14174582.800000001</v>
      </c>
      <c r="L17" s="17"/>
      <c r="M17" s="5"/>
      <c r="N17" s="5"/>
      <c r="O17" s="5"/>
      <c r="P17" s="5"/>
      <c r="Q17" s="5"/>
      <c r="R17" s="5"/>
      <c r="S17" s="5"/>
      <c r="T17" s="5"/>
    </row>
    <row r="18" spans="1:35" ht="24" customHeight="1">
      <c r="A18" s="92"/>
      <c r="B18" s="125"/>
      <c r="C18" s="88" t="s">
        <v>43</v>
      </c>
      <c r="D18" s="19"/>
      <c r="E18" s="19"/>
      <c r="F18" s="20">
        <v>1</v>
      </c>
      <c r="G18" s="21"/>
      <c r="H18" s="22">
        <v>80000</v>
      </c>
      <c r="I18" s="23" t="s">
        <v>44</v>
      </c>
      <c r="J18" s="22">
        <f>H18</f>
        <v>80000</v>
      </c>
      <c r="K18" s="22">
        <f t="shared" ref="K18:K19" si="0">J18+K17</f>
        <v>14254582.800000001</v>
      </c>
      <c r="L18" s="17"/>
      <c r="M18" s="5"/>
      <c r="N18" s="5"/>
      <c r="O18" s="5"/>
      <c r="P18" s="5"/>
      <c r="Q18" s="5"/>
      <c r="R18" s="5"/>
      <c r="S18" s="5"/>
      <c r="T18" s="5"/>
    </row>
    <row r="19" spans="1:35">
      <c r="A19" s="92"/>
      <c r="B19" s="125"/>
      <c r="C19" s="88" t="s">
        <v>108</v>
      </c>
      <c r="D19" s="54"/>
      <c r="E19" s="54"/>
      <c r="F19" s="20">
        <v>1</v>
      </c>
      <c r="G19" s="21"/>
      <c r="H19" s="22">
        <v>90000</v>
      </c>
      <c r="I19" s="23" t="s">
        <v>47</v>
      </c>
      <c r="J19" s="28">
        <f>H19*F19</f>
        <v>90000</v>
      </c>
      <c r="K19" s="22">
        <f t="shared" si="0"/>
        <v>14344582.800000001</v>
      </c>
      <c r="L19" s="17"/>
      <c r="M19" s="5"/>
      <c r="N19" s="5"/>
      <c r="O19" s="5"/>
      <c r="P19" s="5"/>
      <c r="Q19" s="5"/>
      <c r="R19" s="5"/>
      <c r="S19" s="5"/>
      <c r="T19" s="5"/>
    </row>
    <row r="20" spans="1:35" ht="18">
      <c r="A20" s="92"/>
      <c r="B20" s="112" t="s">
        <v>27</v>
      </c>
      <c r="C20" s="112"/>
      <c r="D20" s="112"/>
      <c r="E20" s="112"/>
      <c r="F20" s="112"/>
      <c r="G20" s="112"/>
      <c r="H20" s="112"/>
      <c r="I20" s="112"/>
      <c r="J20" s="30">
        <f>SUM(J14:J19)</f>
        <v>15268582.800000001</v>
      </c>
      <c r="K20" s="28"/>
      <c r="L20" s="12"/>
      <c r="M20" s="63"/>
      <c r="N20" s="5"/>
      <c r="O20" s="5"/>
      <c r="P20" s="5"/>
      <c r="Q20" s="5"/>
      <c r="R20" s="5"/>
      <c r="S20" s="5"/>
      <c r="T20" s="5"/>
    </row>
    <row r="21" spans="1:35">
      <c r="A21" s="7"/>
      <c r="B21" s="2"/>
      <c r="C21" s="2"/>
      <c r="D21" s="2"/>
      <c r="E21" s="2"/>
      <c r="F21" s="31"/>
      <c r="G21" s="113"/>
      <c r="H21" s="113"/>
      <c r="I21" s="32"/>
      <c r="J21" s="33"/>
      <c r="K21" s="34"/>
      <c r="L21" s="12"/>
      <c r="M21" s="12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6.5">
      <c r="A22" s="7"/>
      <c r="B22" s="114" t="s">
        <v>18</v>
      </c>
      <c r="C22" s="115"/>
      <c r="D22" s="115"/>
      <c r="E22" s="116"/>
      <c r="F22" s="92"/>
      <c r="G22" s="35"/>
      <c r="H22" s="36" t="s">
        <v>124</v>
      </c>
      <c r="I22" s="36"/>
      <c r="J22" s="36"/>
      <c r="K22" s="36"/>
      <c r="L22" s="37"/>
      <c r="M22" s="1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6.5">
      <c r="A23" s="7"/>
      <c r="B23" s="117" t="s">
        <v>19</v>
      </c>
      <c r="C23" s="118"/>
      <c r="D23" s="118"/>
      <c r="E23" s="119"/>
      <c r="F23" s="92"/>
      <c r="G23" s="35"/>
      <c r="H23" s="38"/>
      <c r="I23" s="36" t="s">
        <v>20</v>
      </c>
      <c r="J23" s="36"/>
      <c r="K23" s="36"/>
      <c r="L23" s="37"/>
      <c r="M23" s="1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26.25">
      <c r="A24" s="7"/>
      <c r="B24" s="39" t="s">
        <v>21</v>
      </c>
      <c r="C24" s="7"/>
      <c r="D24" s="7"/>
      <c r="E24" s="7"/>
      <c r="F24" s="40" t="s">
        <v>22</v>
      </c>
      <c r="G24" s="41"/>
      <c r="H24" s="42"/>
      <c r="I24" s="43"/>
      <c r="J24" s="43"/>
      <c r="K24" s="34"/>
      <c r="L24" s="37"/>
      <c r="M24" s="12"/>
      <c r="N24" s="5"/>
      <c r="O24" s="5"/>
      <c r="P24" s="5"/>
      <c r="Q24" s="5"/>
      <c r="R24" s="5"/>
      <c r="S24" s="5"/>
      <c r="T24" s="5"/>
      <c r="U24" s="5">
        <v>2409000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6.5">
      <c r="A25" s="7"/>
      <c r="B25" s="44" t="s">
        <v>23</v>
      </c>
      <c r="C25" s="7"/>
      <c r="D25" s="5"/>
      <c r="E25" s="5"/>
      <c r="F25" s="45"/>
      <c r="G25" s="46"/>
      <c r="H25" s="46"/>
      <c r="I25" s="46"/>
      <c r="J25" s="46"/>
      <c r="K25" s="34"/>
      <c r="L25" s="37"/>
      <c r="M25" s="1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6.5">
      <c r="A26" s="7"/>
      <c r="B26" s="39" t="s">
        <v>24</v>
      </c>
      <c r="C26" s="92"/>
      <c r="D26" s="120"/>
      <c r="E26" s="120"/>
      <c r="F26" s="120"/>
      <c r="G26" s="120"/>
      <c r="H26" s="120"/>
      <c r="I26" s="120"/>
      <c r="J26" s="120"/>
      <c r="K26" s="4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20.25">
      <c r="A27" s="7"/>
      <c r="B27" s="44" t="s">
        <v>25</v>
      </c>
      <c r="C27" s="92"/>
      <c r="D27" s="120"/>
      <c r="E27" s="120"/>
      <c r="F27" s="120"/>
      <c r="G27" s="120"/>
      <c r="H27" s="120"/>
      <c r="I27" s="120"/>
      <c r="J27" s="120"/>
      <c r="K27" s="48"/>
      <c r="L27" s="4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5.75" customHeight="1">
      <c r="A28" s="5"/>
      <c r="B28" s="5"/>
      <c r="C28" s="121" t="s">
        <v>26</v>
      </c>
      <c r="D28" s="120"/>
      <c r="E28" s="120"/>
      <c r="F28" s="120"/>
      <c r="G28" s="120"/>
      <c r="H28" s="120"/>
      <c r="I28" s="120"/>
      <c r="J28" s="4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.75" customHeight="1">
      <c r="A29" s="5"/>
      <c r="B29" s="5"/>
      <c r="C29" s="122"/>
      <c r="D29" s="123"/>
      <c r="E29" s="123"/>
      <c r="F29" s="123"/>
      <c r="G29" s="123"/>
      <c r="H29" s="123"/>
      <c r="I29" s="12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.75" customHeight="1"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.75" customHeight="1"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</sheetData>
  <mergeCells count="24">
    <mergeCell ref="B8:C8"/>
    <mergeCell ref="D8:E8"/>
    <mergeCell ref="G8:H8"/>
    <mergeCell ref="D2:J2"/>
    <mergeCell ref="D3:J3"/>
    <mergeCell ref="D4:J4"/>
    <mergeCell ref="D5:J5"/>
    <mergeCell ref="B7:J7"/>
    <mergeCell ref="C9:F9"/>
    <mergeCell ref="G9:H9"/>
    <mergeCell ref="I9:J9"/>
    <mergeCell ref="C10:F10"/>
    <mergeCell ref="G10:H10"/>
    <mergeCell ref="I10:J10"/>
    <mergeCell ref="B22:E22"/>
    <mergeCell ref="B23:E23"/>
    <mergeCell ref="D26:J27"/>
    <mergeCell ref="C28:I29"/>
    <mergeCell ref="C11:F11"/>
    <mergeCell ref="G11:H11"/>
    <mergeCell ref="I11:J11"/>
    <mergeCell ref="B14:B19"/>
    <mergeCell ref="B20:I20"/>
    <mergeCell ref="G21:H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5AF6-8CAC-4FBB-866B-974D4075C97D}">
  <dimension ref="A1:AH116"/>
  <sheetViews>
    <sheetView workbookViewId="0">
      <selection activeCell="L52" sqref="A1:L52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9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  <c r="S1" s="5"/>
    </row>
    <row r="2" spans="1:19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  <c r="S2" s="5"/>
    </row>
    <row r="3" spans="1:19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  <c r="S3" s="5"/>
    </row>
    <row r="4" spans="1:19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  <c r="S4" s="5"/>
    </row>
    <row r="5" spans="1:19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  <c r="S5" s="5"/>
    </row>
    <row r="6" spans="1:19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  <c r="S6" s="5"/>
    </row>
    <row r="7" spans="1:19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  <c r="S7" s="5"/>
    </row>
    <row r="8" spans="1:19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  <c r="S8" s="5"/>
    </row>
    <row r="9" spans="1:19">
      <c r="A9" s="7"/>
      <c r="B9" s="11" t="s">
        <v>4</v>
      </c>
      <c r="C9" s="106" t="s">
        <v>30</v>
      </c>
      <c r="D9" s="107"/>
      <c r="E9" s="107"/>
      <c r="F9" s="108"/>
      <c r="G9" s="106" t="s">
        <v>33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  <c r="S9" s="5"/>
    </row>
    <row r="10" spans="1:19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  <c r="S10" s="5"/>
    </row>
    <row r="11" spans="1:19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  <c r="S11" s="5"/>
    </row>
    <row r="12" spans="1:19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  <c r="S12" s="5"/>
    </row>
    <row r="13" spans="1:19" ht="33.75" customHeight="1">
      <c r="A13" s="51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  <c r="S13" s="5"/>
    </row>
    <row r="14" spans="1:19" ht="19.5" customHeight="1">
      <c r="A14" s="51"/>
      <c r="B14" s="124">
        <v>45722</v>
      </c>
      <c r="C14" s="18" t="s">
        <v>36</v>
      </c>
      <c r="D14" s="19">
        <v>3.3</v>
      </c>
      <c r="E14" s="19">
        <v>3.69</v>
      </c>
      <c r="F14" s="20">
        <v>1</v>
      </c>
      <c r="G14" s="21">
        <f>E14*D14</f>
        <v>12.177</v>
      </c>
      <c r="H14" s="22">
        <v>965000</v>
      </c>
      <c r="I14" s="23" t="s">
        <v>38</v>
      </c>
      <c r="J14" s="22">
        <f>H14*G14</f>
        <v>11750805</v>
      </c>
      <c r="K14" s="22">
        <f>J14</f>
        <v>11750805</v>
      </c>
      <c r="L14" s="17"/>
      <c r="M14" s="5"/>
      <c r="N14" s="5"/>
      <c r="O14" s="5"/>
      <c r="P14" s="5"/>
      <c r="Q14" s="5"/>
      <c r="R14" s="5"/>
      <c r="S14" s="5"/>
    </row>
    <row r="15" spans="1:19" ht="19.5" customHeight="1">
      <c r="A15" s="51"/>
      <c r="B15" s="125"/>
      <c r="C15" s="53" t="s">
        <v>39</v>
      </c>
      <c r="D15" s="54"/>
      <c r="E15" s="54"/>
      <c r="F15" s="55">
        <v>1</v>
      </c>
      <c r="G15" s="56">
        <f>G14</f>
        <v>12.177</v>
      </c>
      <c r="H15" s="57">
        <f>H14*-15%</f>
        <v>-144750</v>
      </c>
      <c r="I15" s="58" t="s">
        <v>38</v>
      </c>
      <c r="J15" s="57">
        <f>H15*G15</f>
        <v>-1762620.75</v>
      </c>
      <c r="K15" s="28">
        <f>J15+K14</f>
        <v>9988184.25</v>
      </c>
      <c r="L15" s="17"/>
      <c r="M15" s="5"/>
      <c r="N15" s="5"/>
      <c r="O15" s="5"/>
      <c r="P15" s="5"/>
      <c r="Q15" s="5"/>
      <c r="R15" s="5"/>
      <c r="S15" s="5"/>
    </row>
    <row r="16" spans="1:19" ht="19.5" customHeight="1">
      <c r="A16" s="51"/>
      <c r="B16" s="125"/>
      <c r="C16" s="18" t="s">
        <v>43</v>
      </c>
      <c r="D16" s="19"/>
      <c r="E16" s="19"/>
      <c r="F16" s="20">
        <v>1</v>
      </c>
      <c r="G16" s="21"/>
      <c r="H16" s="22">
        <v>80000</v>
      </c>
      <c r="I16" s="23" t="s">
        <v>44</v>
      </c>
      <c r="J16" s="22">
        <f>H16</f>
        <v>80000</v>
      </c>
      <c r="K16" s="28">
        <f t="shared" ref="K16:K42" si="0">J16+K15</f>
        <v>10068184.25</v>
      </c>
      <c r="L16" s="17"/>
      <c r="M16" s="5"/>
      <c r="N16" s="5"/>
      <c r="O16" s="5"/>
      <c r="P16" s="5"/>
      <c r="Q16" s="5"/>
      <c r="R16" s="5"/>
      <c r="S16" s="5"/>
    </row>
    <row r="17" spans="1:19" ht="19.5" customHeight="1">
      <c r="A17" s="51"/>
      <c r="B17" s="125"/>
      <c r="C17" s="18" t="s">
        <v>40</v>
      </c>
      <c r="D17" s="19">
        <v>3.2</v>
      </c>
      <c r="E17" s="19"/>
      <c r="F17" s="20">
        <v>2</v>
      </c>
      <c r="G17" s="21"/>
      <c r="H17" s="22">
        <v>150000</v>
      </c>
      <c r="I17" s="23" t="s">
        <v>29</v>
      </c>
      <c r="J17" s="22">
        <f>H17*F17*D17</f>
        <v>960000</v>
      </c>
      <c r="K17" s="28">
        <f t="shared" si="0"/>
        <v>11028184.25</v>
      </c>
      <c r="L17" s="17"/>
      <c r="M17" s="5"/>
      <c r="N17" s="5"/>
      <c r="O17" s="5"/>
      <c r="P17" s="5"/>
      <c r="Q17" s="5"/>
      <c r="R17" s="5"/>
      <c r="S17" s="5"/>
    </row>
    <row r="18" spans="1:19" ht="19.5" customHeight="1">
      <c r="A18" s="51"/>
      <c r="B18" s="125"/>
      <c r="C18" s="18" t="s">
        <v>41</v>
      </c>
      <c r="D18" s="19"/>
      <c r="E18" s="19"/>
      <c r="F18" s="20">
        <v>5</v>
      </c>
      <c r="G18" s="21"/>
      <c r="H18" s="22">
        <v>19000</v>
      </c>
      <c r="I18" s="23" t="s">
        <v>42</v>
      </c>
      <c r="J18" s="22">
        <f>H18*F18</f>
        <v>95000</v>
      </c>
      <c r="K18" s="28">
        <f t="shared" si="0"/>
        <v>11123184.25</v>
      </c>
      <c r="L18" s="17"/>
      <c r="M18" s="5"/>
      <c r="N18" s="5"/>
      <c r="O18" s="5"/>
      <c r="P18" s="5"/>
      <c r="Q18" s="5"/>
      <c r="R18" s="5"/>
      <c r="S18" s="5"/>
    </row>
    <row r="19" spans="1:19" ht="19.5" customHeight="1">
      <c r="A19" s="51"/>
      <c r="B19" s="128">
        <v>45726</v>
      </c>
      <c r="C19" s="18" t="s">
        <v>45</v>
      </c>
      <c r="D19" s="19">
        <v>3.3</v>
      </c>
      <c r="E19" s="19">
        <v>3.79</v>
      </c>
      <c r="F19" s="20">
        <v>1</v>
      </c>
      <c r="G19" s="21">
        <f>E19*D19</f>
        <v>12.507</v>
      </c>
      <c r="H19" s="22">
        <v>1843000</v>
      </c>
      <c r="I19" s="23" t="s">
        <v>38</v>
      </c>
      <c r="J19" s="22">
        <f>H19*G19</f>
        <v>23050401</v>
      </c>
      <c r="K19" s="28">
        <f t="shared" si="0"/>
        <v>34173585.25</v>
      </c>
      <c r="L19" s="17"/>
      <c r="M19" s="5"/>
      <c r="N19" s="5"/>
      <c r="O19" s="5"/>
      <c r="P19" s="5"/>
      <c r="Q19" s="5"/>
      <c r="R19" s="5"/>
      <c r="S19" s="5"/>
    </row>
    <row r="20" spans="1:19" ht="19.5" customHeight="1">
      <c r="A20" s="51"/>
      <c r="B20" s="128"/>
      <c r="C20" s="53" t="s">
        <v>39</v>
      </c>
      <c r="D20" s="54"/>
      <c r="E20" s="54"/>
      <c r="F20" s="55">
        <v>1</v>
      </c>
      <c r="G20" s="56">
        <f>G19</f>
        <v>12.507</v>
      </c>
      <c r="H20" s="57">
        <f>H19*-15%</f>
        <v>-276450</v>
      </c>
      <c r="I20" s="58" t="s">
        <v>38</v>
      </c>
      <c r="J20" s="57">
        <f>H20*G20</f>
        <v>-3457560.15</v>
      </c>
      <c r="K20" s="28">
        <f t="shared" si="0"/>
        <v>30716025.100000001</v>
      </c>
      <c r="L20" s="17"/>
      <c r="M20" s="5"/>
      <c r="N20" s="5"/>
      <c r="O20" s="5"/>
      <c r="P20" s="5"/>
      <c r="Q20" s="5"/>
      <c r="R20" s="5"/>
      <c r="S20" s="5"/>
    </row>
    <row r="21" spans="1:19" ht="19.5" customHeight="1">
      <c r="A21" s="51"/>
      <c r="B21" s="128"/>
      <c r="C21" s="18" t="s">
        <v>43</v>
      </c>
      <c r="D21" s="19"/>
      <c r="E21" s="19"/>
      <c r="F21" s="20">
        <v>1</v>
      </c>
      <c r="G21" s="21"/>
      <c r="H21" s="22">
        <v>80000</v>
      </c>
      <c r="I21" s="23" t="s">
        <v>44</v>
      </c>
      <c r="J21" s="22">
        <f>H21</f>
        <v>80000</v>
      </c>
      <c r="K21" s="28">
        <f t="shared" si="0"/>
        <v>30796025.100000001</v>
      </c>
      <c r="L21" s="17"/>
      <c r="M21" s="5"/>
      <c r="N21" s="5"/>
      <c r="O21" s="5"/>
      <c r="P21" s="5"/>
      <c r="Q21" s="5"/>
      <c r="R21" s="5"/>
      <c r="S21" s="5"/>
    </row>
    <row r="22" spans="1:19" ht="19.5" customHeight="1">
      <c r="A22" s="51"/>
      <c r="B22" s="128"/>
      <c r="C22" s="18" t="s">
        <v>40</v>
      </c>
      <c r="D22" s="19">
        <v>3.2</v>
      </c>
      <c r="E22" s="19"/>
      <c r="F22" s="20">
        <v>2</v>
      </c>
      <c r="G22" s="21"/>
      <c r="H22" s="22">
        <v>150000</v>
      </c>
      <c r="I22" s="23" t="s">
        <v>29</v>
      </c>
      <c r="J22" s="22">
        <f>H22*F22*D22</f>
        <v>960000</v>
      </c>
      <c r="K22" s="28">
        <f t="shared" si="0"/>
        <v>31756025.100000001</v>
      </c>
      <c r="L22" s="17"/>
      <c r="M22" s="5"/>
      <c r="N22" s="5"/>
      <c r="O22" s="5"/>
      <c r="P22" s="5"/>
      <c r="Q22" s="5"/>
      <c r="R22" s="5"/>
      <c r="S22" s="5"/>
    </row>
    <row r="23" spans="1:19" ht="19.5" customHeight="1">
      <c r="A23" s="51"/>
      <c r="B23" s="128"/>
      <c r="C23" s="18" t="s">
        <v>41</v>
      </c>
      <c r="D23" s="19"/>
      <c r="E23" s="19"/>
      <c r="F23" s="20">
        <v>6</v>
      </c>
      <c r="G23" s="21"/>
      <c r="H23" s="22">
        <v>19000</v>
      </c>
      <c r="I23" s="23" t="s">
        <v>42</v>
      </c>
      <c r="J23" s="22">
        <f>H23*F23</f>
        <v>114000</v>
      </c>
      <c r="K23" s="28">
        <f t="shared" si="0"/>
        <v>31870025.100000001</v>
      </c>
      <c r="L23" s="17"/>
      <c r="M23" s="5"/>
      <c r="N23" s="5"/>
      <c r="O23" s="5"/>
      <c r="P23" s="5"/>
      <c r="Q23" s="5"/>
      <c r="R23" s="5"/>
      <c r="S23" s="5"/>
    </row>
    <row r="24" spans="1:19" ht="19.5" customHeight="1">
      <c r="A24" s="51"/>
      <c r="B24" s="128"/>
      <c r="C24" s="18" t="s">
        <v>46</v>
      </c>
      <c r="D24" s="19"/>
      <c r="E24" s="19"/>
      <c r="F24" s="20">
        <v>1</v>
      </c>
      <c r="G24" s="21"/>
      <c r="H24" s="22">
        <v>90000</v>
      </c>
      <c r="I24" s="23" t="s">
        <v>47</v>
      </c>
      <c r="J24" s="22">
        <f>H24</f>
        <v>90000</v>
      </c>
      <c r="K24" s="28">
        <f t="shared" si="0"/>
        <v>31960025.100000001</v>
      </c>
      <c r="L24" s="17"/>
      <c r="M24" s="5"/>
      <c r="N24" s="5"/>
      <c r="O24" s="5"/>
      <c r="P24" s="5"/>
      <c r="Q24" s="5"/>
      <c r="R24" s="5"/>
      <c r="S24" s="5"/>
    </row>
    <row r="25" spans="1:19" ht="16.5" customHeight="1">
      <c r="A25" s="51"/>
      <c r="B25" s="128">
        <v>45733</v>
      </c>
      <c r="C25" s="18" t="s">
        <v>48</v>
      </c>
      <c r="D25" s="19">
        <v>3.3</v>
      </c>
      <c r="E25" s="19">
        <v>3.49</v>
      </c>
      <c r="F25" s="20">
        <v>1</v>
      </c>
      <c r="G25" s="21">
        <f>E25*D25</f>
        <v>11.516999999999999</v>
      </c>
      <c r="H25" s="22">
        <v>1058000</v>
      </c>
      <c r="I25" s="23" t="s">
        <v>38</v>
      </c>
      <c r="J25" s="22">
        <f>H25*G25</f>
        <v>12184986</v>
      </c>
      <c r="K25" s="28">
        <f t="shared" si="0"/>
        <v>44145011.100000001</v>
      </c>
      <c r="L25" s="17"/>
      <c r="M25" s="5"/>
      <c r="N25" s="5"/>
      <c r="O25" s="5"/>
      <c r="P25" s="5"/>
      <c r="Q25" s="5"/>
      <c r="R25" s="5"/>
      <c r="S25" s="5"/>
    </row>
    <row r="26" spans="1:19" ht="16.5" customHeight="1">
      <c r="A26" s="51"/>
      <c r="B26" s="128"/>
      <c r="C26" s="53" t="s">
        <v>39</v>
      </c>
      <c r="D26" s="54"/>
      <c r="E26" s="54"/>
      <c r="F26" s="55">
        <v>1</v>
      </c>
      <c r="G26" s="56">
        <f>G25</f>
        <v>11.516999999999999</v>
      </c>
      <c r="H26" s="57">
        <f>H25*-15%</f>
        <v>-158700</v>
      </c>
      <c r="I26" s="58" t="s">
        <v>38</v>
      </c>
      <c r="J26" s="57">
        <f>H26*G26</f>
        <v>-1827747.9</v>
      </c>
      <c r="K26" s="28">
        <f t="shared" si="0"/>
        <v>42317263.200000003</v>
      </c>
      <c r="L26" s="17"/>
      <c r="M26" s="5"/>
      <c r="N26" s="5"/>
      <c r="O26" s="5"/>
      <c r="P26" s="5"/>
      <c r="Q26" s="5"/>
      <c r="R26" s="5"/>
      <c r="S26" s="5"/>
    </row>
    <row r="27" spans="1:19" ht="16.5" customHeight="1">
      <c r="A27" s="51"/>
      <c r="B27" s="128"/>
      <c r="C27" s="18" t="s">
        <v>49</v>
      </c>
      <c r="D27" s="19">
        <v>3</v>
      </c>
      <c r="E27" s="19">
        <v>3.39</v>
      </c>
      <c r="F27" s="20">
        <v>1</v>
      </c>
      <c r="G27" s="21">
        <f>E27*D27</f>
        <v>10.17</v>
      </c>
      <c r="H27" s="22">
        <v>1004000</v>
      </c>
      <c r="I27" s="23" t="s">
        <v>38</v>
      </c>
      <c r="J27" s="22">
        <f>H27*G27</f>
        <v>10210680</v>
      </c>
      <c r="K27" s="28">
        <f t="shared" si="0"/>
        <v>52527943.200000003</v>
      </c>
      <c r="L27" s="17"/>
      <c r="M27" s="5"/>
      <c r="N27" s="5"/>
      <c r="O27" s="5"/>
      <c r="P27" s="5"/>
      <c r="Q27" s="5"/>
      <c r="R27" s="5"/>
      <c r="S27" s="5"/>
    </row>
    <row r="28" spans="1:19" ht="16.5" customHeight="1">
      <c r="A28" s="51"/>
      <c r="B28" s="128"/>
      <c r="C28" s="53" t="s">
        <v>39</v>
      </c>
      <c r="D28" s="54"/>
      <c r="E28" s="54"/>
      <c r="F28" s="55">
        <v>1</v>
      </c>
      <c r="G28" s="56">
        <f>G27</f>
        <v>10.17</v>
      </c>
      <c r="H28" s="57">
        <f>H27*-15%</f>
        <v>-150600</v>
      </c>
      <c r="I28" s="58" t="s">
        <v>38</v>
      </c>
      <c r="J28" s="57">
        <f>H28*G28</f>
        <v>-1531602</v>
      </c>
      <c r="K28" s="28">
        <f t="shared" si="0"/>
        <v>50996341.200000003</v>
      </c>
      <c r="L28" s="17"/>
      <c r="M28" s="5"/>
      <c r="N28" s="5"/>
      <c r="O28" s="5"/>
      <c r="P28" s="5"/>
      <c r="Q28" s="5"/>
      <c r="R28" s="5"/>
      <c r="S28" s="5"/>
    </row>
    <row r="29" spans="1:19" ht="16.5" customHeight="1">
      <c r="A29" s="51"/>
      <c r="B29" s="128"/>
      <c r="C29" s="18" t="s">
        <v>43</v>
      </c>
      <c r="D29" s="19"/>
      <c r="E29" s="19"/>
      <c r="F29" s="20">
        <v>2</v>
      </c>
      <c r="G29" s="21"/>
      <c r="H29" s="22">
        <v>80000</v>
      </c>
      <c r="I29" s="23" t="s">
        <v>44</v>
      </c>
      <c r="J29" s="22">
        <f>H29*F29</f>
        <v>160000</v>
      </c>
      <c r="K29" s="28">
        <f t="shared" si="0"/>
        <v>51156341.200000003</v>
      </c>
      <c r="L29" s="17"/>
      <c r="M29" s="5"/>
      <c r="N29" s="5"/>
      <c r="O29" s="5"/>
      <c r="P29" s="5"/>
      <c r="Q29" s="5"/>
      <c r="R29" s="5"/>
      <c r="S29" s="5"/>
    </row>
    <row r="30" spans="1:19" ht="16.5" customHeight="1">
      <c r="A30" s="51"/>
      <c r="B30" s="128"/>
      <c r="C30" s="18" t="s">
        <v>40</v>
      </c>
      <c r="D30" s="19">
        <v>3.2</v>
      </c>
      <c r="E30" s="19"/>
      <c r="F30" s="20">
        <v>2</v>
      </c>
      <c r="G30" s="21"/>
      <c r="H30" s="22">
        <v>150000</v>
      </c>
      <c r="I30" s="23" t="s">
        <v>29</v>
      </c>
      <c r="J30" s="22">
        <f>H30*F30*D30</f>
        <v>960000</v>
      </c>
      <c r="K30" s="28">
        <f t="shared" si="0"/>
        <v>52116341.200000003</v>
      </c>
      <c r="L30" s="17"/>
      <c r="M30" s="5"/>
      <c r="N30" s="5"/>
      <c r="O30" s="5"/>
      <c r="P30" s="5"/>
      <c r="Q30" s="5"/>
      <c r="R30" s="5"/>
      <c r="S30" s="5"/>
    </row>
    <row r="31" spans="1:19" ht="16.5" customHeight="1">
      <c r="A31" s="51"/>
      <c r="B31" s="128"/>
      <c r="C31" s="18" t="s">
        <v>40</v>
      </c>
      <c r="D31" s="19">
        <v>2.9</v>
      </c>
      <c r="E31" s="19"/>
      <c r="F31" s="20">
        <v>2</v>
      </c>
      <c r="G31" s="21"/>
      <c r="H31" s="22">
        <v>150000</v>
      </c>
      <c r="I31" s="23" t="s">
        <v>29</v>
      </c>
      <c r="J31" s="22">
        <f>H31*F31*D31</f>
        <v>870000</v>
      </c>
      <c r="K31" s="28">
        <f t="shared" si="0"/>
        <v>52986341.200000003</v>
      </c>
      <c r="L31" s="17"/>
      <c r="M31" s="5"/>
      <c r="N31" s="5"/>
      <c r="O31" s="5"/>
      <c r="P31" s="5"/>
      <c r="Q31" s="5"/>
      <c r="R31" s="5"/>
      <c r="S31" s="5"/>
    </row>
    <row r="32" spans="1:19" ht="16.5" customHeight="1">
      <c r="A32" s="51"/>
      <c r="B32" s="128"/>
      <c r="C32" s="18" t="s">
        <v>41</v>
      </c>
      <c r="D32" s="19"/>
      <c r="E32" s="19"/>
      <c r="F32" s="20">
        <v>10</v>
      </c>
      <c r="G32" s="21"/>
      <c r="H32" s="22">
        <v>19000</v>
      </c>
      <c r="I32" s="23" t="s">
        <v>42</v>
      </c>
      <c r="J32" s="22">
        <f>H32*F32</f>
        <v>190000</v>
      </c>
      <c r="K32" s="28">
        <f t="shared" si="0"/>
        <v>53176341.200000003</v>
      </c>
      <c r="L32" s="17"/>
      <c r="M32" s="5"/>
      <c r="N32" s="5"/>
      <c r="O32" s="5"/>
      <c r="P32" s="5"/>
      <c r="Q32" s="5"/>
      <c r="R32" s="5"/>
      <c r="S32" s="5"/>
    </row>
    <row r="33" spans="1:34" ht="16.5" customHeight="1">
      <c r="A33" s="51"/>
      <c r="B33" s="128"/>
      <c r="C33" s="18" t="s">
        <v>46</v>
      </c>
      <c r="D33" s="19"/>
      <c r="E33" s="19"/>
      <c r="F33" s="20">
        <v>1</v>
      </c>
      <c r="G33" s="21"/>
      <c r="H33" s="22">
        <v>90000</v>
      </c>
      <c r="I33" s="23" t="s">
        <v>47</v>
      </c>
      <c r="J33" s="22">
        <f>H33</f>
        <v>90000</v>
      </c>
      <c r="K33" s="28">
        <f t="shared" si="0"/>
        <v>53266341.200000003</v>
      </c>
      <c r="L33" s="17"/>
      <c r="M33" s="5"/>
      <c r="N33" s="5"/>
      <c r="O33" s="5"/>
      <c r="P33" s="5"/>
      <c r="Q33" s="5"/>
      <c r="R33" s="5"/>
      <c r="S33" s="5"/>
    </row>
    <row r="34" spans="1:34" ht="16.5" customHeight="1">
      <c r="A34" s="51"/>
      <c r="B34" s="128">
        <v>45747</v>
      </c>
      <c r="C34" s="18" t="s">
        <v>50</v>
      </c>
      <c r="D34" s="19"/>
      <c r="E34" s="19"/>
      <c r="F34" s="20">
        <v>50</v>
      </c>
      <c r="G34" s="21"/>
      <c r="H34" s="22">
        <v>2500</v>
      </c>
      <c r="I34" s="23" t="s">
        <v>51</v>
      </c>
      <c r="J34" s="22">
        <f>H34*F34</f>
        <v>125000</v>
      </c>
      <c r="K34" s="28">
        <f t="shared" si="0"/>
        <v>53391341.200000003</v>
      </c>
      <c r="L34" s="17"/>
      <c r="M34" s="5"/>
      <c r="N34" s="5"/>
      <c r="O34" s="5"/>
      <c r="P34" s="5"/>
      <c r="Q34" s="5"/>
      <c r="R34" s="5"/>
      <c r="S34" s="5"/>
    </row>
    <row r="35" spans="1:34" ht="16.5" customHeight="1">
      <c r="A35" s="51"/>
      <c r="B35" s="128"/>
      <c r="C35" s="18" t="s">
        <v>52</v>
      </c>
      <c r="D35" s="19"/>
      <c r="E35" s="19"/>
      <c r="F35" s="20"/>
      <c r="G35" s="21"/>
      <c r="H35" s="22"/>
      <c r="I35" s="23"/>
      <c r="J35" s="22">
        <v>50000</v>
      </c>
      <c r="K35" s="28">
        <f t="shared" si="0"/>
        <v>53441341.200000003</v>
      </c>
      <c r="L35" s="17"/>
      <c r="M35" s="5"/>
      <c r="N35" s="5"/>
      <c r="O35" s="5"/>
      <c r="P35" s="5"/>
      <c r="Q35" s="5"/>
      <c r="R35" s="5"/>
      <c r="S35" s="5"/>
    </row>
    <row r="36" spans="1:34" ht="16.5" customHeight="1">
      <c r="A36" s="51"/>
      <c r="B36" s="128">
        <v>45752</v>
      </c>
      <c r="C36" s="18" t="s">
        <v>49</v>
      </c>
      <c r="D36" s="19">
        <v>4.53</v>
      </c>
      <c r="E36" s="19">
        <v>3.94</v>
      </c>
      <c r="F36" s="20">
        <v>1</v>
      </c>
      <c r="G36" s="21">
        <f>E36*D36</f>
        <v>17.848200000000002</v>
      </c>
      <c r="H36" s="22">
        <v>1004000</v>
      </c>
      <c r="I36" s="23" t="s">
        <v>38</v>
      </c>
      <c r="J36" s="22">
        <f>H36*G36</f>
        <v>17919592.800000001</v>
      </c>
      <c r="K36" s="28">
        <f t="shared" si="0"/>
        <v>71360934</v>
      </c>
      <c r="L36" s="17"/>
      <c r="M36" s="5"/>
      <c r="N36" s="5"/>
      <c r="O36" s="5"/>
      <c r="P36" s="5"/>
      <c r="Q36" s="5"/>
      <c r="R36" s="5"/>
      <c r="S36" s="5"/>
    </row>
    <row r="37" spans="1:34" ht="16.5" customHeight="1">
      <c r="A37" s="51"/>
      <c r="B37" s="128"/>
      <c r="C37" s="53" t="s">
        <v>39</v>
      </c>
      <c r="D37" s="54"/>
      <c r="E37" s="54"/>
      <c r="F37" s="55">
        <v>1</v>
      </c>
      <c r="G37" s="56">
        <f>G36</f>
        <v>17.848200000000002</v>
      </c>
      <c r="H37" s="57">
        <f>H36*-15%</f>
        <v>-150600</v>
      </c>
      <c r="I37" s="58" t="s">
        <v>38</v>
      </c>
      <c r="J37" s="57">
        <f>H37*G37</f>
        <v>-2687938.9200000004</v>
      </c>
      <c r="K37" s="28">
        <f t="shared" si="0"/>
        <v>68672995.079999998</v>
      </c>
      <c r="L37" s="17"/>
      <c r="M37" s="5"/>
      <c r="N37" s="5"/>
      <c r="O37" s="5"/>
      <c r="P37" s="5"/>
      <c r="Q37" s="5"/>
      <c r="R37" s="5"/>
      <c r="S37" s="5"/>
    </row>
    <row r="38" spans="1:34" ht="16.5" customHeight="1">
      <c r="A38" s="51"/>
      <c r="B38" s="128"/>
      <c r="C38" s="18" t="s">
        <v>43</v>
      </c>
      <c r="D38" s="19"/>
      <c r="E38" s="19"/>
      <c r="F38" s="20">
        <v>1</v>
      </c>
      <c r="G38" s="21"/>
      <c r="H38" s="22">
        <v>80000</v>
      </c>
      <c r="I38" s="23" t="s">
        <v>44</v>
      </c>
      <c r="J38" s="22">
        <f>H38*F38</f>
        <v>80000</v>
      </c>
      <c r="K38" s="28">
        <f t="shared" si="0"/>
        <v>68752995.079999998</v>
      </c>
      <c r="L38" s="17"/>
      <c r="M38" s="59"/>
      <c r="N38" s="5"/>
      <c r="O38" s="5"/>
      <c r="P38" s="5"/>
      <c r="Q38" s="5"/>
      <c r="R38" s="5"/>
      <c r="S38" s="5"/>
    </row>
    <row r="39" spans="1:34" ht="16.5" customHeight="1">
      <c r="A39" s="51"/>
      <c r="B39" s="128"/>
      <c r="C39" s="18" t="s">
        <v>40</v>
      </c>
      <c r="D39" s="19">
        <v>4.5</v>
      </c>
      <c r="E39" s="19"/>
      <c r="F39" s="20">
        <v>2</v>
      </c>
      <c r="G39" s="21"/>
      <c r="H39" s="22">
        <v>150000</v>
      </c>
      <c r="I39" s="23" t="s">
        <v>29</v>
      </c>
      <c r="J39" s="22">
        <f>H39*F39*D39</f>
        <v>1350000</v>
      </c>
      <c r="K39" s="28">
        <f t="shared" si="0"/>
        <v>70102995.079999998</v>
      </c>
      <c r="L39" s="17"/>
      <c r="M39" s="60"/>
      <c r="N39" s="5"/>
      <c r="O39" s="5"/>
      <c r="P39" s="5"/>
      <c r="Q39" s="5"/>
      <c r="R39" s="5"/>
      <c r="S39" s="5"/>
    </row>
    <row r="40" spans="1:34" ht="16.5" customHeight="1">
      <c r="A40" s="51"/>
      <c r="B40" s="128"/>
      <c r="C40" s="18" t="s">
        <v>41</v>
      </c>
      <c r="D40" s="19"/>
      <c r="E40" s="19"/>
      <c r="F40" s="20">
        <v>6</v>
      </c>
      <c r="G40" s="21"/>
      <c r="H40" s="22">
        <v>19000</v>
      </c>
      <c r="I40" s="23" t="s">
        <v>42</v>
      </c>
      <c r="J40" s="22">
        <f>H40*F40</f>
        <v>114000</v>
      </c>
      <c r="K40" s="28">
        <f t="shared" si="0"/>
        <v>70216995.079999998</v>
      </c>
      <c r="L40" s="17"/>
      <c r="M40" s="61"/>
      <c r="N40" s="5"/>
      <c r="O40" s="5"/>
      <c r="P40" s="5"/>
      <c r="Q40" s="5"/>
      <c r="R40" s="5"/>
      <c r="S40" s="5"/>
    </row>
    <row r="41" spans="1:34" ht="16.5" customHeight="1">
      <c r="A41" s="51"/>
      <c r="B41" s="128"/>
      <c r="C41" s="18" t="s">
        <v>46</v>
      </c>
      <c r="D41" s="19"/>
      <c r="E41" s="19"/>
      <c r="F41" s="20">
        <v>1</v>
      </c>
      <c r="G41" s="21"/>
      <c r="H41" s="22">
        <v>90000</v>
      </c>
      <c r="I41" s="23" t="s">
        <v>47</v>
      </c>
      <c r="J41" s="22">
        <f>H41</f>
        <v>90000</v>
      </c>
      <c r="K41" s="28">
        <f t="shared" si="0"/>
        <v>70306995.079999998</v>
      </c>
      <c r="L41" s="17"/>
      <c r="M41" s="59"/>
      <c r="N41" s="5"/>
      <c r="O41" s="5"/>
      <c r="P41" s="5"/>
      <c r="Q41" s="5"/>
      <c r="R41" s="5"/>
      <c r="S41" s="5"/>
    </row>
    <row r="42" spans="1:34" ht="16.5" customHeight="1">
      <c r="A42" s="62"/>
      <c r="B42" s="64">
        <v>45771</v>
      </c>
      <c r="C42" s="18" t="s">
        <v>53</v>
      </c>
      <c r="D42" s="19"/>
      <c r="E42" s="19"/>
      <c r="F42" s="20"/>
      <c r="G42" s="21"/>
      <c r="H42" s="22"/>
      <c r="I42" s="23"/>
      <c r="J42" s="22">
        <v>-30000000</v>
      </c>
      <c r="K42" s="28">
        <f t="shared" si="0"/>
        <v>40306995.079999998</v>
      </c>
      <c r="L42" s="17"/>
      <c r="M42" s="65"/>
      <c r="N42" s="5"/>
      <c r="O42" s="5"/>
      <c r="P42" s="5"/>
      <c r="Q42" s="5"/>
      <c r="R42" s="5"/>
      <c r="S42" s="5"/>
    </row>
    <row r="43" spans="1:34" ht="18">
      <c r="A43" s="51"/>
      <c r="B43" s="112" t="s">
        <v>27</v>
      </c>
      <c r="C43" s="112"/>
      <c r="D43" s="112"/>
      <c r="E43" s="112"/>
      <c r="F43" s="112"/>
      <c r="G43" s="112"/>
      <c r="H43" s="112"/>
      <c r="I43" s="112"/>
      <c r="J43" s="30">
        <f>SUM(J14:J42)</f>
        <v>40306995.079999998</v>
      </c>
      <c r="K43" s="28"/>
      <c r="L43" s="12"/>
      <c r="M43" s="5"/>
      <c r="N43" s="5"/>
      <c r="O43" s="5"/>
      <c r="P43" s="5"/>
      <c r="Q43" s="5"/>
      <c r="R43" s="5"/>
      <c r="S43" s="5"/>
    </row>
    <row r="44" spans="1:34">
      <c r="A44" s="7"/>
      <c r="B44" s="2"/>
      <c r="C44" s="2"/>
      <c r="D44" s="2"/>
      <c r="E44" s="2"/>
      <c r="F44" s="31"/>
      <c r="G44" s="113"/>
      <c r="H44" s="113"/>
      <c r="I44" s="32"/>
      <c r="J44" s="33"/>
      <c r="K44" s="34"/>
      <c r="L44" s="1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6.5">
      <c r="A45" s="7"/>
      <c r="B45" s="114" t="s">
        <v>18</v>
      </c>
      <c r="C45" s="115"/>
      <c r="D45" s="115"/>
      <c r="E45" s="116"/>
      <c r="F45" s="51"/>
      <c r="G45" s="35"/>
      <c r="H45" s="36" t="s">
        <v>34</v>
      </c>
      <c r="I45" s="36"/>
      <c r="J45" s="36"/>
      <c r="K45" s="36"/>
      <c r="L45" s="3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16.5">
      <c r="A46" s="7"/>
      <c r="B46" s="117" t="s">
        <v>19</v>
      </c>
      <c r="C46" s="118"/>
      <c r="D46" s="118"/>
      <c r="E46" s="119"/>
      <c r="F46" s="51"/>
      <c r="G46" s="35"/>
      <c r="H46" s="38"/>
      <c r="I46" s="36" t="s">
        <v>20</v>
      </c>
      <c r="J46" s="36"/>
      <c r="K46" s="36"/>
      <c r="L46" s="3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26.25">
      <c r="A47" s="7"/>
      <c r="B47" s="39" t="s">
        <v>21</v>
      </c>
      <c r="C47" s="7"/>
      <c r="D47" s="7"/>
      <c r="E47" s="7"/>
      <c r="F47" s="40" t="s">
        <v>22</v>
      </c>
      <c r="G47" s="41"/>
      <c r="H47" s="42"/>
      <c r="I47" s="43"/>
      <c r="J47" s="43"/>
      <c r="K47" s="34"/>
      <c r="L47" s="37"/>
      <c r="M47" s="5"/>
      <c r="N47" s="5"/>
      <c r="O47" s="5"/>
      <c r="P47" s="5"/>
      <c r="Q47" s="5"/>
      <c r="R47" s="5"/>
      <c r="S47" s="5"/>
      <c r="T47" s="5">
        <v>2409000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ht="16.5">
      <c r="A48" s="7"/>
      <c r="B48" s="44" t="s">
        <v>23</v>
      </c>
      <c r="C48" s="7"/>
      <c r="D48" s="5"/>
      <c r="E48" s="5"/>
      <c r="F48" s="45"/>
      <c r="G48" s="46"/>
      <c r="H48" s="46"/>
      <c r="I48" s="46"/>
      <c r="J48" s="46"/>
      <c r="K48" s="34"/>
      <c r="L48" s="3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ht="16.5">
      <c r="A49" s="7"/>
      <c r="B49" s="39" t="s">
        <v>24</v>
      </c>
      <c r="C49" s="51"/>
      <c r="D49" s="120"/>
      <c r="E49" s="120"/>
      <c r="F49" s="120"/>
      <c r="G49" s="120"/>
      <c r="H49" s="120"/>
      <c r="I49" s="120"/>
      <c r="J49" s="120"/>
      <c r="K49" s="4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ht="20.25">
      <c r="A50" s="7"/>
      <c r="B50" s="44" t="s">
        <v>25</v>
      </c>
      <c r="C50" s="51"/>
      <c r="D50" s="120"/>
      <c r="E50" s="120"/>
      <c r="F50" s="120"/>
      <c r="G50" s="120"/>
      <c r="H50" s="120"/>
      <c r="I50" s="120"/>
      <c r="J50" s="120"/>
      <c r="K50" s="48"/>
      <c r="L50" s="48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ht="15.75" customHeight="1">
      <c r="A51" s="5"/>
      <c r="B51" s="5"/>
      <c r="C51" s="121" t="s">
        <v>26</v>
      </c>
      <c r="D51" s="120"/>
      <c r="E51" s="120"/>
      <c r="F51" s="120"/>
      <c r="G51" s="120"/>
      <c r="H51" s="120"/>
      <c r="I51" s="120"/>
      <c r="J51" s="4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ht="15.75" customHeight="1">
      <c r="A52" s="5"/>
      <c r="B52" s="5"/>
      <c r="C52" s="122"/>
      <c r="D52" s="123"/>
      <c r="E52" s="123"/>
      <c r="F52" s="123"/>
      <c r="G52" s="123"/>
      <c r="H52" s="123"/>
      <c r="I52" s="1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1:34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ht="15.75" customHeight="1"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ht="15.75" customHeight="1"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</sheetData>
  <mergeCells count="28">
    <mergeCell ref="B45:E45"/>
    <mergeCell ref="B46:E46"/>
    <mergeCell ref="D49:J50"/>
    <mergeCell ref="C51:I52"/>
    <mergeCell ref="B14:B18"/>
    <mergeCell ref="B19:B24"/>
    <mergeCell ref="B25:B33"/>
    <mergeCell ref="B34:B35"/>
    <mergeCell ref="B36:B41"/>
    <mergeCell ref="C11:F11"/>
    <mergeCell ref="G11:H11"/>
    <mergeCell ref="I11:J11"/>
    <mergeCell ref="B43:I43"/>
    <mergeCell ref="G44:H44"/>
    <mergeCell ref="C9:F9"/>
    <mergeCell ref="G9:H9"/>
    <mergeCell ref="I9:J9"/>
    <mergeCell ref="C10:F10"/>
    <mergeCell ref="G10:H10"/>
    <mergeCell ref="I10:J10"/>
    <mergeCell ref="B8:C8"/>
    <mergeCell ref="D8:E8"/>
    <mergeCell ref="G8:H8"/>
    <mergeCell ref="D2:J2"/>
    <mergeCell ref="D3:J3"/>
    <mergeCell ref="D4:J4"/>
    <mergeCell ref="D5:J5"/>
    <mergeCell ref="B7:J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AACC-CF8D-4446-A1D0-FADD055AF86F}">
  <dimension ref="A1:AH129"/>
  <sheetViews>
    <sheetView topLeftCell="A22" workbookViewId="0">
      <selection activeCell="C34" sqref="C34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9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  <c r="S1" s="5"/>
    </row>
    <row r="2" spans="1:19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  <c r="S2" s="5"/>
    </row>
    <row r="3" spans="1:19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  <c r="S3" s="5"/>
    </row>
    <row r="4" spans="1:19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  <c r="S4" s="5"/>
    </row>
    <row r="5" spans="1:19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  <c r="S5" s="5"/>
    </row>
    <row r="6" spans="1:19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  <c r="S6" s="5"/>
    </row>
    <row r="7" spans="1:19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  <c r="S7" s="5"/>
    </row>
    <row r="8" spans="1:19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  <c r="S8" s="5"/>
    </row>
    <row r="9" spans="1:19">
      <c r="A9" s="7"/>
      <c r="B9" s="11" t="s">
        <v>4</v>
      </c>
      <c r="C9" s="106" t="s">
        <v>30</v>
      </c>
      <c r="D9" s="107"/>
      <c r="E9" s="107"/>
      <c r="F9" s="108"/>
      <c r="G9" s="106" t="s">
        <v>33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  <c r="S9" s="5"/>
    </row>
    <row r="10" spans="1:19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  <c r="S10" s="5"/>
    </row>
    <row r="11" spans="1:19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  <c r="S11" s="5"/>
    </row>
    <row r="12" spans="1:19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  <c r="S12" s="5"/>
    </row>
    <row r="13" spans="1:19" ht="33.75" customHeight="1">
      <c r="A13" s="62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  <c r="S13" s="5"/>
    </row>
    <row r="14" spans="1:19" ht="24.75" customHeight="1">
      <c r="A14" s="62"/>
      <c r="B14" s="129" t="s">
        <v>54</v>
      </c>
      <c r="C14" s="130"/>
      <c r="D14" s="130"/>
      <c r="E14" s="130"/>
      <c r="F14" s="130"/>
      <c r="G14" s="130"/>
      <c r="H14" s="130"/>
      <c r="I14" s="130"/>
      <c r="J14" s="68">
        <f>K14</f>
        <v>40306995.079999998</v>
      </c>
      <c r="K14" s="57">
        <f>'T4'!J43</f>
        <v>40306995.079999998</v>
      </c>
      <c r="L14" s="17"/>
      <c r="M14" s="59" t="s">
        <v>60</v>
      </c>
      <c r="N14" s="5"/>
      <c r="O14" s="5"/>
      <c r="P14" s="5"/>
      <c r="Q14" s="5"/>
      <c r="R14" s="5"/>
      <c r="S14" s="5"/>
    </row>
    <row r="15" spans="1:19" ht="19.5" customHeight="1">
      <c r="A15" s="62"/>
      <c r="B15" s="124">
        <v>45768</v>
      </c>
      <c r="C15" s="18" t="s">
        <v>59</v>
      </c>
      <c r="D15" s="19">
        <v>3.4</v>
      </c>
      <c r="E15" s="19">
        <v>3.09</v>
      </c>
      <c r="F15" s="20">
        <v>1</v>
      </c>
      <c r="G15" s="21">
        <f>E15*D15</f>
        <v>10.505999999999998</v>
      </c>
      <c r="H15" s="22">
        <v>1004000</v>
      </c>
      <c r="I15" s="23" t="s">
        <v>38</v>
      </c>
      <c r="J15" s="22">
        <f>H15*G15</f>
        <v>10548023.999999998</v>
      </c>
      <c r="K15" s="22">
        <f>J15+K14</f>
        <v>50855019.079999998</v>
      </c>
      <c r="L15" s="17"/>
      <c r="M15" s="59" t="s">
        <v>61</v>
      </c>
      <c r="N15" s="5"/>
      <c r="O15" s="5"/>
      <c r="P15" s="5"/>
      <c r="Q15" s="5"/>
      <c r="R15" s="5"/>
      <c r="S15" s="5"/>
    </row>
    <row r="16" spans="1:19" ht="19.5" customHeight="1">
      <c r="A16" s="62"/>
      <c r="B16" s="125"/>
      <c r="C16" s="53" t="s">
        <v>39</v>
      </c>
      <c r="D16" s="54"/>
      <c r="E16" s="54"/>
      <c r="F16" s="55">
        <v>1</v>
      </c>
      <c r="G16" s="56">
        <f>G15</f>
        <v>10.505999999999998</v>
      </c>
      <c r="H16" s="57">
        <f>H15*-15%</f>
        <v>-150600</v>
      </c>
      <c r="I16" s="58" t="s">
        <v>38</v>
      </c>
      <c r="J16" s="57">
        <f>H16*G16</f>
        <v>-1582203.5999999999</v>
      </c>
      <c r="K16" s="28">
        <f>J16+K15</f>
        <v>49272815.479999997</v>
      </c>
      <c r="L16" s="17"/>
      <c r="M16" s="59" t="s">
        <v>62</v>
      </c>
      <c r="N16" s="5"/>
      <c r="O16" s="5"/>
      <c r="P16" s="5"/>
      <c r="Q16" s="5"/>
      <c r="R16" s="5"/>
      <c r="S16" s="5"/>
    </row>
    <row r="17" spans="1:19" ht="19.5" customHeight="1">
      <c r="A17" s="62"/>
      <c r="B17" s="125"/>
      <c r="C17" s="18" t="s">
        <v>43</v>
      </c>
      <c r="D17" s="19"/>
      <c r="E17" s="19"/>
      <c r="F17" s="20">
        <v>1</v>
      </c>
      <c r="G17" s="21"/>
      <c r="H17" s="22">
        <v>80000</v>
      </c>
      <c r="I17" s="23" t="s">
        <v>44</v>
      </c>
      <c r="J17" s="22">
        <f>H17*F17</f>
        <v>80000</v>
      </c>
      <c r="K17" s="28">
        <f t="shared" ref="K17:K55" si="0">J17+K16</f>
        <v>49352815.479999997</v>
      </c>
      <c r="L17" s="17"/>
      <c r="M17" s="59"/>
      <c r="N17" s="5"/>
      <c r="O17" s="5"/>
      <c r="P17" s="5"/>
      <c r="Q17" s="5"/>
      <c r="R17" s="5"/>
      <c r="S17" s="5"/>
    </row>
    <row r="18" spans="1:19" ht="19.5" customHeight="1">
      <c r="A18" s="62"/>
      <c r="B18" s="125"/>
      <c r="C18" s="18" t="s">
        <v>41</v>
      </c>
      <c r="D18" s="19"/>
      <c r="E18" s="19"/>
      <c r="F18" s="20">
        <v>4</v>
      </c>
      <c r="G18" s="21"/>
      <c r="H18" s="22">
        <v>19000</v>
      </c>
      <c r="I18" s="23" t="s">
        <v>42</v>
      </c>
      <c r="J18" s="22">
        <f>H18*F18</f>
        <v>76000</v>
      </c>
      <c r="K18" s="28">
        <f t="shared" si="0"/>
        <v>49428815.479999997</v>
      </c>
      <c r="L18" s="17"/>
      <c r="M18" s="59" t="s">
        <v>63</v>
      </c>
      <c r="N18" s="5"/>
      <c r="O18" s="5"/>
      <c r="P18" s="5"/>
      <c r="Q18" s="5"/>
      <c r="R18" s="5"/>
      <c r="S18" s="5"/>
    </row>
    <row r="19" spans="1:19" ht="19.5" customHeight="1">
      <c r="A19" s="62"/>
      <c r="B19" s="125"/>
      <c r="C19" s="18" t="s">
        <v>46</v>
      </c>
      <c r="D19" s="19"/>
      <c r="E19" s="19"/>
      <c r="F19" s="20">
        <v>1</v>
      </c>
      <c r="G19" s="21"/>
      <c r="H19" s="22">
        <v>90000</v>
      </c>
      <c r="I19" s="23" t="s">
        <v>47</v>
      </c>
      <c r="J19" s="22">
        <f>H19</f>
        <v>90000</v>
      </c>
      <c r="K19" s="28">
        <f t="shared" si="0"/>
        <v>49518815.479999997</v>
      </c>
      <c r="L19" s="17"/>
      <c r="M19" s="66" t="s">
        <v>55</v>
      </c>
      <c r="N19" s="5"/>
      <c r="O19" s="5"/>
      <c r="P19" s="5"/>
      <c r="Q19" s="5"/>
      <c r="R19" s="5"/>
      <c r="S19" s="5"/>
    </row>
    <row r="20" spans="1:19" ht="19.5" customHeight="1">
      <c r="A20" s="62"/>
      <c r="B20" s="125"/>
      <c r="C20" s="18" t="s">
        <v>40</v>
      </c>
      <c r="D20" s="19">
        <v>3.3</v>
      </c>
      <c r="E20" s="19"/>
      <c r="F20" s="20">
        <v>2</v>
      </c>
      <c r="G20" s="21"/>
      <c r="H20" s="22">
        <v>150000</v>
      </c>
      <c r="I20" s="23" t="s">
        <v>38</v>
      </c>
      <c r="J20" s="22">
        <f>H20*F20*D20</f>
        <v>990000</v>
      </c>
      <c r="K20" s="28">
        <f t="shared" si="0"/>
        <v>50508815.479999997</v>
      </c>
      <c r="L20" s="17"/>
      <c r="M20" s="59" t="s">
        <v>64</v>
      </c>
      <c r="N20" s="5"/>
      <c r="O20" s="5"/>
      <c r="P20" s="5"/>
      <c r="Q20" s="5"/>
      <c r="R20" s="5"/>
      <c r="S20" s="5"/>
    </row>
    <row r="21" spans="1:19" ht="19.5" customHeight="1">
      <c r="A21" s="62"/>
      <c r="B21" s="124">
        <v>45769</v>
      </c>
      <c r="C21" s="18" t="s">
        <v>56</v>
      </c>
      <c r="D21" s="19"/>
      <c r="E21" s="19"/>
      <c r="F21" s="20">
        <v>1</v>
      </c>
      <c r="G21" s="21"/>
      <c r="H21" s="22">
        <v>1700000</v>
      </c>
      <c r="I21" s="23" t="s">
        <v>42</v>
      </c>
      <c r="J21" s="22">
        <f>H21</f>
        <v>1700000</v>
      </c>
      <c r="K21" s="28">
        <f t="shared" si="0"/>
        <v>52208815.479999997</v>
      </c>
      <c r="L21" s="17"/>
      <c r="M21" s="59" t="s">
        <v>65</v>
      </c>
      <c r="N21" s="5"/>
      <c r="O21" s="5"/>
      <c r="P21" s="5"/>
      <c r="Q21" s="5"/>
      <c r="R21" s="5"/>
      <c r="S21" s="5"/>
    </row>
    <row r="22" spans="1:19" ht="19.5" customHeight="1">
      <c r="A22" s="62"/>
      <c r="B22" s="131"/>
      <c r="C22" s="53" t="s">
        <v>57</v>
      </c>
      <c r="D22" s="54"/>
      <c r="E22" s="54"/>
      <c r="F22" s="55">
        <v>1</v>
      </c>
      <c r="G22" s="56"/>
      <c r="H22" s="57">
        <v>80000</v>
      </c>
      <c r="I22" s="58" t="s">
        <v>58</v>
      </c>
      <c r="J22" s="57">
        <f>H22</f>
        <v>80000</v>
      </c>
      <c r="K22" s="28">
        <f t="shared" si="0"/>
        <v>52288815.479999997</v>
      </c>
      <c r="L22" s="17"/>
      <c r="M22" s="59" t="s">
        <v>66</v>
      </c>
      <c r="N22" s="5"/>
      <c r="O22" s="5"/>
      <c r="P22" s="5"/>
      <c r="Q22" s="5"/>
      <c r="R22" s="5"/>
      <c r="S22" s="5"/>
    </row>
    <row r="23" spans="1:19" ht="19.5" customHeight="1">
      <c r="A23" s="62"/>
      <c r="B23" s="124">
        <v>45772</v>
      </c>
      <c r="C23" s="18" t="s">
        <v>59</v>
      </c>
      <c r="D23" s="19">
        <v>3.4</v>
      </c>
      <c r="E23" s="19">
        <v>2.77</v>
      </c>
      <c r="F23" s="20">
        <v>1</v>
      </c>
      <c r="G23" s="21">
        <f>E23*D23</f>
        <v>9.4179999999999993</v>
      </c>
      <c r="H23" s="22">
        <v>1004000</v>
      </c>
      <c r="I23" s="23" t="s">
        <v>38</v>
      </c>
      <c r="J23" s="22">
        <f>H23*G23</f>
        <v>9455672</v>
      </c>
      <c r="K23" s="28">
        <f t="shared" si="0"/>
        <v>61744487.479999997</v>
      </c>
      <c r="L23" s="17"/>
      <c r="M23" s="59" t="s">
        <v>67</v>
      </c>
      <c r="N23" s="5"/>
      <c r="O23" s="5"/>
      <c r="P23" s="5"/>
      <c r="Q23" s="5"/>
      <c r="R23" s="5"/>
      <c r="S23" s="5"/>
    </row>
    <row r="24" spans="1:19" ht="19.5" customHeight="1">
      <c r="A24" s="62"/>
      <c r="B24" s="125"/>
      <c r="C24" s="53" t="s">
        <v>39</v>
      </c>
      <c r="D24" s="54"/>
      <c r="E24" s="54"/>
      <c r="F24" s="55">
        <v>1</v>
      </c>
      <c r="G24" s="56">
        <f>G23</f>
        <v>9.4179999999999993</v>
      </c>
      <c r="H24" s="57">
        <f>H23*-15%</f>
        <v>-150600</v>
      </c>
      <c r="I24" s="58" t="s">
        <v>38</v>
      </c>
      <c r="J24" s="57">
        <f>H24*G24</f>
        <v>-1418350.7999999998</v>
      </c>
      <c r="K24" s="28">
        <f t="shared" si="0"/>
        <v>60326136.68</v>
      </c>
      <c r="L24" s="17"/>
      <c r="M24" s="59" t="s">
        <v>68</v>
      </c>
      <c r="N24" s="5"/>
      <c r="O24" s="5"/>
      <c r="P24" s="5"/>
      <c r="Q24" s="5"/>
      <c r="R24" s="5"/>
      <c r="S24" s="5"/>
    </row>
    <row r="25" spans="1:19" ht="19.5" customHeight="1">
      <c r="A25" s="62"/>
      <c r="B25" s="125"/>
      <c r="C25" s="18" t="s">
        <v>43</v>
      </c>
      <c r="D25" s="19"/>
      <c r="E25" s="19"/>
      <c r="F25" s="20">
        <v>1</v>
      </c>
      <c r="G25" s="21"/>
      <c r="H25" s="22">
        <v>80000</v>
      </c>
      <c r="I25" s="23" t="s">
        <v>44</v>
      </c>
      <c r="J25" s="22">
        <f>H25*F25</f>
        <v>80000</v>
      </c>
      <c r="K25" s="28">
        <f t="shared" si="0"/>
        <v>60406136.68</v>
      </c>
      <c r="L25" s="17"/>
      <c r="M25" s="65"/>
      <c r="N25" s="5"/>
      <c r="O25" s="5"/>
      <c r="P25" s="5"/>
      <c r="Q25" s="5"/>
      <c r="R25" s="5"/>
      <c r="S25" s="5"/>
    </row>
    <row r="26" spans="1:19" ht="19.5" customHeight="1">
      <c r="A26" s="62"/>
      <c r="B26" s="125"/>
      <c r="C26" s="18" t="s">
        <v>41</v>
      </c>
      <c r="D26" s="19"/>
      <c r="E26" s="19"/>
      <c r="F26" s="20">
        <v>4</v>
      </c>
      <c r="G26" s="21"/>
      <c r="H26" s="22">
        <v>19000</v>
      </c>
      <c r="I26" s="23" t="s">
        <v>42</v>
      </c>
      <c r="J26" s="22">
        <f>H26*F26</f>
        <v>76000</v>
      </c>
      <c r="K26" s="28">
        <f t="shared" si="0"/>
        <v>60482136.68</v>
      </c>
      <c r="L26" s="17"/>
      <c r="M26" s="5"/>
      <c r="N26" s="5"/>
      <c r="O26" s="5"/>
      <c r="P26" s="5"/>
      <c r="Q26" s="5"/>
      <c r="R26" s="5"/>
      <c r="S26" s="5"/>
    </row>
    <row r="27" spans="1:19" ht="19.5" customHeight="1">
      <c r="A27" s="62"/>
      <c r="B27" s="125"/>
      <c r="C27" s="18" t="s">
        <v>46</v>
      </c>
      <c r="D27" s="19"/>
      <c r="E27" s="19"/>
      <c r="F27" s="20">
        <v>1</v>
      </c>
      <c r="G27" s="21"/>
      <c r="H27" s="22">
        <v>90000</v>
      </c>
      <c r="I27" s="23" t="s">
        <v>47</v>
      </c>
      <c r="J27" s="22">
        <f>H27</f>
        <v>90000</v>
      </c>
      <c r="K27" s="28">
        <f t="shared" si="0"/>
        <v>60572136.68</v>
      </c>
      <c r="L27" s="17"/>
      <c r="M27" s="5"/>
      <c r="N27" s="5"/>
      <c r="O27" s="5"/>
      <c r="P27" s="5"/>
      <c r="Q27" s="5"/>
      <c r="R27" s="5"/>
      <c r="S27" s="5"/>
    </row>
    <row r="28" spans="1:19" ht="16.5" customHeight="1">
      <c r="A28" s="62"/>
      <c r="B28" s="131"/>
      <c r="C28" s="18" t="s">
        <v>40</v>
      </c>
      <c r="D28" s="19">
        <v>3.3</v>
      </c>
      <c r="E28" s="19"/>
      <c r="F28" s="20">
        <v>2</v>
      </c>
      <c r="G28" s="21"/>
      <c r="H28" s="22">
        <v>150000</v>
      </c>
      <c r="I28" s="23" t="s">
        <v>38</v>
      </c>
      <c r="J28" s="22">
        <f>H28*F28*D28</f>
        <v>990000</v>
      </c>
      <c r="K28" s="28">
        <f t="shared" si="0"/>
        <v>61562136.68</v>
      </c>
      <c r="L28" s="17"/>
      <c r="M28" s="5"/>
      <c r="N28" s="5"/>
      <c r="O28" s="5"/>
      <c r="P28" s="5"/>
      <c r="Q28" s="5"/>
      <c r="R28" s="5"/>
      <c r="S28" s="5"/>
    </row>
    <row r="29" spans="1:19" ht="16.5" customHeight="1">
      <c r="A29" s="62"/>
      <c r="B29" s="124">
        <v>45775</v>
      </c>
      <c r="C29" s="18" t="s">
        <v>59</v>
      </c>
      <c r="D29" s="19">
        <v>3.4</v>
      </c>
      <c r="E29" s="19">
        <v>2.96</v>
      </c>
      <c r="F29" s="20">
        <v>1</v>
      </c>
      <c r="G29" s="21">
        <f>E29*D29</f>
        <v>10.064</v>
      </c>
      <c r="H29" s="22">
        <v>1004000</v>
      </c>
      <c r="I29" s="23" t="s">
        <v>38</v>
      </c>
      <c r="J29" s="22">
        <f>H29*G29</f>
        <v>10104256</v>
      </c>
      <c r="K29" s="28">
        <f t="shared" si="0"/>
        <v>71666392.680000007</v>
      </c>
      <c r="L29" s="17"/>
      <c r="M29" s="5"/>
      <c r="N29" s="5"/>
      <c r="O29" s="5"/>
      <c r="P29" s="5"/>
      <c r="Q29" s="5"/>
      <c r="R29" s="5"/>
      <c r="S29" s="5"/>
    </row>
    <row r="30" spans="1:19" ht="16.5" customHeight="1">
      <c r="A30" s="62"/>
      <c r="B30" s="125"/>
      <c r="C30" s="53" t="s">
        <v>39</v>
      </c>
      <c r="D30" s="54"/>
      <c r="E30" s="54"/>
      <c r="F30" s="55">
        <v>1</v>
      </c>
      <c r="G30" s="56">
        <f>G29</f>
        <v>10.064</v>
      </c>
      <c r="H30" s="57">
        <f>H29*-15%</f>
        <v>-150600</v>
      </c>
      <c r="I30" s="58" t="s">
        <v>38</v>
      </c>
      <c r="J30" s="57">
        <f>H30*G30</f>
        <v>-1515638.4</v>
      </c>
      <c r="K30" s="28">
        <f t="shared" si="0"/>
        <v>70150754.280000001</v>
      </c>
      <c r="L30" s="17"/>
      <c r="M30" s="5"/>
      <c r="N30" s="5"/>
      <c r="O30" s="5"/>
      <c r="P30" s="5"/>
      <c r="Q30" s="5"/>
      <c r="R30" s="5"/>
      <c r="S30" s="5"/>
    </row>
    <row r="31" spans="1:19" ht="16.5" customHeight="1">
      <c r="A31" s="62"/>
      <c r="B31" s="125"/>
      <c r="C31" s="18" t="s">
        <v>43</v>
      </c>
      <c r="D31" s="19"/>
      <c r="E31" s="19"/>
      <c r="F31" s="20">
        <v>1</v>
      </c>
      <c r="G31" s="21"/>
      <c r="H31" s="22">
        <v>80000</v>
      </c>
      <c r="I31" s="23" t="s">
        <v>44</v>
      </c>
      <c r="J31" s="22">
        <f>H31*F31</f>
        <v>80000</v>
      </c>
      <c r="K31" s="28">
        <f t="shared" si="0"/>
        <v>70230754.280000001</v>
      </c>
      <c r="L31" s="17"/>
      <c r="M31" s="5"/>
      <c r="N31" s="5"/>
      <c r="O31" s="5"/>
      <c r="P31" s="5"/>
      <c r="Q31" s="5"/>
      <c r="R31" s="5"/>
      <c r="S31" s="5"/>
    </row>
    <row r="32" spans="1:19" ht="16.5" customHeight="1">
      <c r="A32" s="62"/>
      <c r="B32" s="125"/>
      <c r="C32" s="18" t="s">
        <v>41</v>
      </c>
      <c r="D32" s="19"/>
      <c r="E32" s="19"/>
      <c r="F32" s="20">
        <v>4</v>
      </c>
      <c r="G32" s="21"/>
      <c r="H32" s="22">
        <v>19000</v>
      </c>
      <c r="I32" s="23" t="s">
        <v>42</v>
      </c>
      <c r="J32" s="22">
        <f>H32*F32</f>
        <v>76000</v>
      </c>
      <c r="K32" s="28">
        <f t="shared" si="0"/>
        <v>70306754.280000001</v>
      </c>
      <c r="L32" s="17"/>
      <c r="M32" s="5"/>
      <c r="N32" s="5"/>
      <c r="O32" s="5"/>
      <c r="P32" s="5"/>
      <c r="Q32" s="5"/>
      <c r="R32" s="5"/>
      <c r="S32" s="5"/>
    </row>
    <row r="33" spans="1:19" ht="16.5" customHeight="1">
      <c r="A33" s="62"/>
      <c r="B33" s="125"/>
      <c r="C33" s="18" t="s">
        <v>46</v>
      </c>
      <c r="D33" s="19"/>
      <c r="E33" s="19"/>
      <c r="F33" s="20">
        <v>1</v>
      </c>
      <c r="G33" s="21"/>
      <c r="H33" s="22">
        <v>90000</v>
      </c>
      <c r="I33" s="23" t="s">
        <v>47</v>
      </c>
      <c r="J33" s="22">
        <f>H33</f>
        <v>90000</v>
      </c>
      <c r="K33" s="28">
        <f t="shared" si="0"/>
        <v>70396754.280000001</v>
      </c>
      <c r="L33" s="17"/>
      <c r="M33" s="5"/>
      <c r="N33" s="5"/>
      <c r="O33" s="5"/>
      <c r="P33" s="5"/>
      <c r="Q33" s="5"/>
      <c r="R33" s="5"/>
      <c r="S33" s="5"/>
    </row>
    <row r="34" spans="1:19" ht="16.5" customHeight="1">
      <c r="A34" s="62"/>
      <c r="B34" s="131"/>
      <c r="C34" s="18" t="s">
        <v>40</v>
      </c>
      <c r="D34" s="19">
        <v>3.3</v>
      </c>
      <c r="E34" s="19"/>
      <c r="F34" s="20">
        <v>2</v>
      </c>
      <c r="G34" s="21"/>
      <c r="H34" s="22">
        <v>150000</v>
      </c>
      <c r="I34" s="23" t="s">
        <v>38</v>
      </c>
      <c r="J34" s="22">
        <f>H34*F34*D34</f>
        <v>990000</v>
      </c>
      <c r="K34" s="28">
        <f t="shared" si="0"/>
        <v>71386754.280000001</v>
      </c>
      <c r="L34" s="17"/>
      <c r="M34" s="5"/>
      <c r="N34" s="5"/>
      <c r="O34" s="5"/>
      <c r="P34" s="5"/>
      <c r="Q34" s="5"/>
      <c r="R34" s="5"/>
      <c r="S34" s="5"/>
    </row>
    <row r="35" spans="1:19" ht="16.5" customHeight="1">
      <c r="A35" s="62"/>
      <c r="B35" s="124">
        <v>45782</v>
      </c>
      <c r="C35" s="18" t="s">
        <v>59</v>
      </c>
      <c r="D35" s="19">
        <v>3.3</v>
      </c>
      <c r="E35" s="19">
        <v>3.77</v>
      </c>
      <c r="F35" s="20">
        <v>1</v>
      </c>
      <c r="G35" s="21">
        <f>E35*D35</f>
        <v>12.440999999999999</v>
      </c>
      <c r="H35" s="22">
        <v>1004000</v>
      </c>
      <c r="I35" s="23" t="s">
        <v>38</v>
      </c>
      <c r="J35" s="22">
        <f>H35*G35</f>
        <v>12490763.999999998</v>
      </c>
      <c r="K35" s="28">
        <f t="shared" si="0"/>
        <v>83877518.280000001</v>
      </c>
      <c r="L35" s="17"/>
      <c r="M35" s="5"/>
      <c r="N35" s="5"/>
      <c r="O35" s="5"/>
      <c r="P35" s="5"/>
      <c r="Q35" s="5"/>
      <c r="R35" s="5"/>
      <c r="S35" s="5"/>
    </row>
    <row r="36" spans="1:19" ht="16.5" customHeight="1">
      <c r="A36" s="62"/>
      <c r="B36" s="125"/>
      <c r="C36" s="53" t="s">
        <v>39</v>
      </c>
      <c r="D36" s="54"/>
      <c r="E36" s="54"/>
      <c r="F36" s="55">
        <v>1</v>
      </c>
      <c r="G36" s="56">
        <f>G35</f>
        <v>12.440999999999999</v>
      </c>
      <c r="H36" s="57">
        <f>H35*-15%</f>
        <v>-150600</v>
      </c>
      <c r="I36" s="58" t="s">
        <v>38</v>
      </c>
      <c r="J36" s="57">
        <f>H36*G36</f>
        <v>-1873614.5999999999</v>
      </c>
      <c r="K36" s="28">
        <f t="shared" si="0"/>
        <v>82003903.680000007</v>
      </c>
      <c r="L36" s="17"/>
      <c r="M36" s="5"/>
      <c r="N36" s="5"/>
      <c r="O36" s="5"/>
      <c r="P36" s="5"/>
      <c r="Q36" s="5"/>
      <c r="R36" s="5"/>
      <c r="S36" s="5"/>
    </row>
    <row r="37" spans="1:19" ht="16.5" customHeight="1">
      <c r="A37" s="62"/>
      <c r="B37" s="125"/>
      <c r="C37" s="18" t="s">
        <v>43</v>
      </c>
      <c r="D37" s="19"/>
      <c r="E37" s="19"/>
      <c r="F37" s="20">
        <v>1</v>
      </c>
      <c r="G37" s="21"/>
      <c r="H37" s="22">
        <v>80000</v>
      </c>
      <c r="I37" s="23" t="s">
        <v>44</v>
      </c>
      <c r="J37" s="22">
        <f>H37*F37</f>
        <v>80000</v>
      </c>
      <c r="K37" s="28">
        <f t="shared" si="0"/>
        <v>82083903.680000007</v>
      </c>
      <c r="L37" s="17"/>
      <c r="M37" s="5"/>
      <c r="N37" s="5"/>
      <c r="O37" s="5"/>
      <c r="P37" s="5"/>
      <c r="Q37" s="5"/>
      <c r="R37" s="5"/>
      <c r="S37" s="5"/>
    </row>
    <row r="38" spans="1:19" ht="16.5" customHeight="1">
      <c r="A38" s="62"/>
      <c r="B38" s="125"/>
      <c r="C38" s="18" t="s">
        <v>41</v>
      </c>
      <c r="D38" s="19"/>
      <c r="E38" s="19"/>
      <c r="F38" s="20">
        <v>5</v>
      </c>
      <c r="G38" s="21"/>
      <c r="H38" s="22">
        <v>19000</v>
      </c>
      <c r="I38" s="23" t="s">
        <v>42</v>
      </c>
      <c r="J38" s="22">
        <f>H38*F38</f>
        <v>95000</v>
      </c>
      <c r="K38" s="28">
        <f t="shared" si="0"/>
        <v>82178903.680000007</v>
      </c>
      <c r="L38" s="17"/>
      <c r="M38" s="5"/>
      <c r="N38" s="5"/>
      <c r="O38" s="5"/>
      <c r="P38" s="5"/>
      <c r="Q38" s="5"/>
      <c r="R38" s="5"/>
      <c r="S38" s="5"/>
    </row>
    <row r="39" spans="1:19" ht="16.5" customHeight="1">
      <c r="A39" s="62"/>
      <c r="B39" s="125"/>
      <c r="C39" s="18" t="s">
        <v>46</v>
      </c>
      <c r="D39" s="19"/>
      <c r="E39" s="19"/>
      <c r="F39" s="20">
        <v>1</v>
      </c>
      <c r="G39" s="21"/>
      <c r="H39" s="22">
        <v>90000</v>
      </c>
      <c r="I39" s="23" t="s">
        <v>47</v>
      </c>
      <c r="J39" s="22">
        <f>H39</f>
        <v>90000</v>
      </c>
      <c r="K39" s="28">
        <f t="shared" si="0"/>
        <v>82268903.680000007</v>
      </c>
      <c r="L39" s="17"/>
      <c r="M39" s="5"/>
      <c r="N39" s="5"/>
      <c r="O39" s="5"/>
      <c r="P39" s="5"/>
      <c r="Q39" s="5"/>
      <c r="R39" s="5"/>
      <c r="S39" s="5"/>
    </row>
    <row r="40" spans="1:19" ht="16.5" customHeight="1">
      <c r="A40" s="62"/>
      <c r="B40" s="131"/>
      <c r="C40" s="18" t="s">
        <v>40</v>
      </c>
      <c r="D40" s="19">
        <v>3.2</v>
      </c>
      <c r="E40" s="19"/>
      <c r="F40" s="20">
        <v>2</v>
      </c>
      <c r="G40" s="21"/>
      <c r="H40" s="22">
        <v>150000</v>
      </c>
      <c r="I40" s="23" t="s">
        <v>38</v>
      </c>
      <c r="J40" s="22">
        <f>H40*F40*D40</f>
        <v>960000</v>
      </c>
      <c r="K40" s="28">
        <f t="shared" si="0"/>
        <v>83228903.680000007</v>
      </c>
      <c r="L40" s="17"/>
      <c r="M40" s="5"/>
      <c r="N40" s="5"/>
      <c r="O40" s="5"/>
      <c r="P40" s="5"/>
      <c r="Q40" s="5"/>
      <c r="R40" s="5"/>
      <c r="S40" s="5"/>
    </row>
    <row r="41" spans="1:19" ht="16.5" customHeight="1">
      <c r="A41" s="62"/>
      <c r="B41" s="124">
        <v>45783</v>
      </c>
      <c r="C41" s="18" t="s">
        <v>69</v>
      </c>
      <c r="D41" s="19">
        <v>3.83</v>
      </c>
      <c r="E41" s="19">
        <v>3.7</v>
      </c>
      <c r="F41" s="20">
        <v>1</v>
      </c>
      <c r="G41" s="21">
        <f>E41*D41</f>
        <v>14.171000000000001</v>
      </c>
      <c r="H41" s="22">
        <v>755000</v>
      </c>
      <c r="I41" s="23" t="s">
        <v>38</v>
      </c>
      <c r="J41" s="22">
        <f>H41*G41</f>
        <v>10699105</v>
      </c>
      <c r="K41" s="28">
        <f t="shared" si="0"/>
        <v>93928008.680000007</v>
      </c>
      <c r="L41" s="17"/>
      <c r="M41" s="5"/>
      <c r="N41" s="5"/>
      <c r="O41" s="5"/>
      <c r="P41" s="5"/>
      <c r="Q41" s="5"/>
      <c r="R41" s="5"/>
      <c r="S41" s="5"/>
    </row>
    <row r="42" spans="1:19" ht="16.5" customHeight="1">
      <c r="A42" s="62"/>
      <c r="B42" s="125"/>
      <c r="C42" s="18" t="s">
        <v>69</v>
      </c>
      <c r="D42" s="19">
        <v>3.83</v>
      </c>
      <c r="E42" s="19">
        <v>3.99</v>
      </c>
      <c r="F42" s="20">
        <v>1</v>
      </c>
      <c r="G42" s="21">
        <f>E42*D42</f>
        <v>15.281700000000001</v>
      </c>
      <c r="H42" s="22">
        <v>755000</v>
      </c>
      <c r="I42" s="23" t="s">
        <v>38</v>
      </c>
      <c r="J42" s="22">
        <f>H42*G42</f>
        <v>11537683.5</v>
      </c>
      <c r="K42" s="28">
        <f t="shared" si="0"/>
        <v>105465692.18000001</v>
      </c>
      <c r="L42" s="17"/>
      <c r="M42" s="5"/>
      <c r="N42" s="5"/>
      <c r="O42" s="5"/>
      <c r="P42" s="5"/>
      <c r="Q42" s="5"/>
      <c r="R42" s="5"/>
      <c r="S42" s="5"/>
    </row>
    <row r="43" spans="1:19" ht="16.5" customHeight="1">
      <c r="A43" s="62"/>
      <c r="B43" s="125"/>
      <c r="C43" s="18" t="s">
        <v>69</v>
      </c>
      <c r="D43" s="19">
        <v>3.35</v>
      </c>
      <c r="E43" s="19">
        <v>4.99</v>
      </c>
      <c r="F43" s="20">
        <v>1</v>
      </c>
      <c r="G43" s="21">
        <f>E43*D43</f>
        <v>16.7165</v>
      </c>
      <c r="H43" s="22">
        <v>755000</v>
      </c>
      <c r="I43" s="23" t="s">
        <v>38</v>
      </c>
      <c r="J43" s="22">
        <f>H43*G43</f>
        <v>12620957.5</v>
      </c>
      <c r="K43" s="28">
        <f t="shared" si="0"/>
        <v>118086649.68000001</v>
      </c>
      <c r="L43" s="17"/>
      <c r="M43" s="59"/>
      <c r="N43" s="5"/>
      <c r="O43" s="5"/>
      <c r="P43" s="5"/>
      <c r="Q43" s="5"/>
      <c r="R43" s="5"/>
      <c r="S43" s="5"/>
    </row>
    <row r="44" spans="1:19" ht="16.5" customHeight="1">
      <c r="A44" s="62"/>
      <c r="B44" s="125"/>
      <c r="C44" s="53" t="s">
        <v>39</v>
      </c>
      <c r="D44" s="54"/>
      <c r="E44" s="54"/>
      <c r="F44" s="55">
        <v>3</v>
      </c>
      <c r="G44" s="56">
        <f>G43+G42+G41</f>
        <v>46.169200000000004</v>
      </c>
      <c r="H44" s="57">
        <f>H43*-15%</f>
        <v>-113250</v>
      </c>
      <c r="I44" s="58" t="s">
        <v>38</v>
      </c>
      <c r="J44" s="57">
        <f>H44*G44</f>
        <v>-5228661.9000000004</v>
      </c>
      <c r="K44" s="28">
        <f t="shared" si="0"/>
        <v>112857987.78</v>
      </c>
      <c r="L44" s="17"/>
      <c r="M44" s="60"/>
      <c r="N44" s="5"/>
      <c r="O44" s="5"/>
      <c r="P44" s="5"/>
      <c r="Q44" s="5"/>
      <c r="R44" s="5"/>
      <c r="S44" s="5"/>
    </row>
    <row r="45" spans="1:19" ht="16.5" customHeight="1">
      <c r="A45" s="62"/>
      <c r="B45" s="125"/>
      <c r="C45" s="18" t="s">
        <v>43</v>
      </c>
      <c r="D45" s="19"/>
      <c r="E45" s="19"/>
      <c r="F45" s="20">
        <v>3</v>
      </c>
      <c r="G45" s="21"/>
      <c r="H45" s="22">
        <v>80000</v>
      </c>
      <c r="I45" s="23" t="s">
        <v>44</v>
      </c>
      <c r="J45" s="22">
        <f>H45*F45</f>
        <v>240000</v>
      </c>
      <c r="K45" s="28">
        <f t="shared" si="0"/>
        <v>113097987.78</v>
      </c>
      <c r="L45" s="17"/>
      <c r="M45" s="61"/>
      <c r="N45" s="5"/>
      <c r="O45" s="5"/>
      <c r="P45" s="5"/>
      <c r="Q45" s="5"/>
      <c r="R45" s="5"/>
      <c r="S45" s="5"/>
    </row>
    <row r="46" spans="1:19" ht="16.5" customHeight="1">
      <c r="A46" s="62"/>
      <c r="B46" s="125"/>
      <c r="C46" s="18" t="s">
        <v>70</v>
      </c>
      <c r="D46" s="19"/>
      <c r="E46" s="19"/>
      <c r="F46" s="20">
        <v>17</v>
      </c>
      <c r="G46" s="21"/>
      <c r="H46" s="22">
        <v>24000</v>
      </c>
      <c r="I46" s="23" t="s">
        <v>42</v>
      </c>
      <c r="J46" s="22">
        <f>H46*F46</f>
        <v>408000</v>
      </c>
      <c r="K46" s="28">
        <f t="shared" si="0"/>
        <v>113505987.78</v>
      </c>
      <c r="L46" s="17"/>
      <c r="M46" s="67"/>
      <c r="N46" s="5"/>
      <c r="O46" s="5"/>
      <c r="P46" s="5"/>
      <c r="Q46" s="5"/>
      <c r="R46" s="5"/>
      <c r="S46" s="5"/>
    </row>
    <row r="47" spans="1:19" ht="16.5" customHeight="1">
      <c r="A47" s="62"/>
      <c r="B47" s="125"/>
      <c r="C47" s="18" t="s">
        <v>46</v>
      </c>
      <c r="D47" s="19"/>
      <c r="E47" s="19"/>
      <c r="F47" s="20">
        <v>3</v>
      </c>
      <c r="G47" s="21"/>
      <c r="H47" s="22">
        <v>90000</v>
      </c>
      <c r="I47" s="23" t="s">
        <v>47</v>
      </c>
      <c r="J47" s="22">
        <f>H47*F47</f>
        <v>270000</v>
      </c>
      <c r="K47" s="28">
        <f t="shared" si="0"/>
        <v>113775987.78</v>
      </c>
      <c r="L47" s="17"/>
      <c r="M47" s="67"/>
      <c r="N47" s="5"/>
      <c r="O47" s="5"/>
      <c r="P47" s="5"/>
      <c r="Q47" s="5"/>
      <c r="R47" s="5"/>
      <c r="S47" s="5"/>
    </row>
    <row r="48" spans="1:19" ht="16.5" customHeight="1">
      <c r="A48" s="62"/>
      <c r="B48" s="125"/>
      <c r="C48" s="18" t="s">
        <v>40</v>
      </c>
      <c r="D48" s="19">
        <v>3.8</v>
      </c>
      <c r="E48" s="19"/>
      <c r="F48" s="20">
        <v>4</v>
      </c>
      <c r="G48" s="21"/>
      <c r="H48" s="22">
        <v>150000</v>
      </c>
      <c r="I48" s="23" t="s">
        <v>38</v>
      </c>
      <c r="J48" s="22">
        <f>H48*F48*D48</f>
        <v>2280000</v>
      </c>
      <c r="K48" s="28">
        <f t="shared" si="0"/>
        <v>116055987.78</v>
      </c>
      <c r="L48" s="17"/>
      <c r="M48" s="67"/>
      <c r="N48" s="5"/>
      <c r="O48" s="5"/>
      <c r="P48" s="5"/>
      <c r="Q48" s="5"/>
      <c r="R48" s="5"/>
      <c r="S48" s="5"/>
    </row>
    <row r="49" spans="1:34" ht="16.5" customHeight="1">
      <c r="A49" s="62"/>
      <c r="B49" s="125"/>
      <c r="C49" s="18" t="s">
        <v>40</v>
      </c>
      <c r="D49" s="19">
        <v>3.3</v>
      </c>
      <c r="E49" s="19"/>
      <c r="F49" s="20">
        <v>2</v>
      </c>
      <c r="G49" s="21"/>
      <c r="H49" s="22">
        <v>150000</v>
      </c>
      <c r="I49" s="23" t="s">
        <v>38</v>
      </c>
      <c r="J49" s="22">
        <f>H49*F49*D49</f>
        <v>990000</v>
      </c>
      <c r="K49" s="28">
        <f t="shared" si="0"/>
        <v>117045987.78</v>
      </c>
      <c r="L49" s="17"/>
      <c r="M49" s="67"/>
      <c r="N49" s="5"/>
      <c r="O49" s="5"/>
      <c r="P49" s="5"/>
      <c r="Q49" s="5"/>
      <c r="R49" s="5"/>
      <c r="S49" s="5"/>
    </row>
    <row r="50" spans="1:34" ht="16.5" customHeight="1">
      <c r="A50" s="62"/>
      <c r="B50" s="125"/>
      <c r="C50" s="18" t="s">
        <v>71</v>
      </c>
      <c r="D50" s="19"/>
      <c r="E50" s="19"/>
      <c r="F50" s="20">
        <v>1</v>
      </c>
      <c r="G50" s="21"/>
      <c r="H50" s="22">
        <v>1750000</v>
      </c>
      <c r="I50" s="23" t="s">
        <v>44</v>
      </c>
      <c r="J50" s="22">
        <f>H50</f>
        <v>1750000</v>
      </c>
      <c r="K50" s="28">
        <f t="shared" si="0"/>
        <v>118795987.78</v>
      </c>
      <c r="L50" s="17"/>
      <c r="M50" s="67"/>
      <c r="N50" s="5"/>
      <c r="O50" s="5"/>
      <c r="P50" s="5"/>
      <c r="Q50" s="5"/>
      <c r="R50" s="5"/>
      <c r="S50" s="5"/>
    </row>
    <row r="51" spans="1:34" ht="16.5" customHeight="1">
      <c r="A51" s="62"/>
      <c r="B51" s="131"/>
      <c r="C51" s="18" t="s">
        <v>56</v>
      </c>
      <c r="D51" s="19"/>
      <c r="E51" s="19"/>
      <c r="F51" s="20">
        <v>1</v>
      </c>
      <c r="G51" s="21"/>
      <c r="H51" s="22">
        <v>1700000</v>
      </c>
      <c r="I51" s="23" t="s">
        <v>44</v>
      </c>
      <c r="J51" s="22">
        <f>H51</f>
        <v>1700000</v>
      </c>
      <c r="K51" s="28">
        <f t="shared" si="0"/>
        <v>120495987.78</v>
      </c>
      <c r="L51" s="17"/>
      <c r="M51" s="67"/>
      <c r="N51" s="5"/>
      <c r="O51" s="5"/>
      <c r="P51" s="5"/>
      <c r="Q51" s="5"/>
      <c r="R51" s="5"/>
      <c r="S51" s="5"/>
    </row>
    <row r="52" spans="1:34" ht="16.5" customHeight="1">
      <c r="A52" s="62"/>
      <c r="B52" s="124">
        <v>45784</v>
      </c>
      <c r="C52" s="18" t="s">
        <v>59</v>
      </c>
      <c r="D52" s="19">
        <v>3.4</v>
      </c>
      <c r="E52" s="19">
        <v>2.92</v>
      </c>
      <c r="F52" s="20">
        <v>1</v>
      </c>
      <c r="G52" s="21">
        <f>E52*D52</f>
        <v>9.927999999999999</v>
      </c>
      <c r="H52" s="22">
        <v>1004000</v>
      </c>
      <c r="I52" s="23" t="s">
        <v>38</v>
      </c>
      <c r="J52" s="22">
        <f>H52*G52</f>
        <v>9967711.9999999981</v>
      </c>
      <c r="K52" s="28">
        <f t="shared" si="0"/>
        <v>130463699.78</v>
      </c>
      <c r="L52" s="17"/>
      <c r="M52" s="59"/>
      <c r="N52" s="5"/>
      <c r="O52" s="5"/>
      <c r="P52" s="5"/>
      <c r="Q52" s="5"/>
      <c r="R52" s="5"/>
      <c r="S52" s="5"/>
    </row>
    <row r="53" spans="1:34" ht="16.5" customHeight="1">
      <c r="A53" s="62"/>
      <c r="B53" s="125"/>
      <c r="C53" s="53" t="s">
        <v>39</v>
      </c>
      <c r="D53" s="54"/>
      <c r="E53" s="54"/>
      <c r="F53" s="55">
        <v>1</v>
      </c>
      <c r="G53" s="56">
        <f>G52</f>
        <v>9.927999999999999</v>
      </c>
      <c r="H53" s="57">
        <f>H52*-15%</f>
        <v>-150600</v>
      </c>
      <c r="I53" s="58" t="s">
        <v>38</v>
      </c>
      <c r="J53" s="57">
        <f>H53*G53</f>
        <v>-1495156.7999999998</v>
      </c>
      <c r="K53" s="28">
        <f t="shared" si="0"/>
        <v>128968542.98</v>
      </c>
      <c r="L53" s="17"/>
      <c r="M53" s="65"/>
      <c r="N53" s="5"/>
      <c r="O53" s="5"/>
      <c r="P53" s="5"/>
      <c r="Q53" s="5"/>
      <c r="R53" s="5"/>
      <c r="S53" s="5"/>
    </row>
    <row r="54" spans="1:34" ht="16.5" customHeight="1">
      <c r="A54" s="62"/>
      <c r="B54" s="131"/>
      <c r="C54" s="18" t="s">
        <v>43</v>
      </c>
      <c r="D54" s="19"/>
      <c r="E54" s="19"/>
      <c r="F54" s="20">
        <v>1</v>
      </c>
      <c r="G54" s="21"/>
      <c r="H54" s="22">
        <v>80000</v>
      </c>
      <c r="I54" s="23" t="s">
        <v>44</v>
      </c>
      <c r="J54" s="22">
        <f>H54*F54</f>
        <v>80000</v>
      </c>
      <c r="K54" s="28">
        <f t="shared" si="0"/>
        <v>129048542.98</v>
      </c>
      <c r="L54" s="17"/>
      <c r="M54" s="65"/>
      <c r="N54" s="5"/>
      <c r="O54" s="5"/>
      <c r="P54" s="5"/>
      <c r="Q54" s="5"/>
      <c r="R54" s="5"/>
      <c r="S54" s="5"/>
    </row>
    <row r="55" spans="1:34" ht="16.5" customHeight="1">
      <c r="A55" s="69"/>
      <c r="B55" s="70">
        <v>45787</v>
      </c>
      <c r="C55" s="18" t="s">
        <v>72</v>
      </c>
      <c r="D55" s="19"/>
      <c r="E55" s="19"/>
      <c r="F55" s="20"/>
      <c r="G55" s="21"/>
      <c r="H55" s="22"/>
      <c r="I55" s="23"/>
      <c r="J55" s="22">
        <v>-29048543</v>
      </c>
      <c r="K55" s="28">
        <f t="shared" si="0"/>
        <v>99999999.980000004</v>
      </c>
      <c r="L55" s="17"/>
      <c r="M55" s="65"/>
      <c r="N55" s="5"/>
      <c r="O55" s="5"/>
      <c r="P55" s="5"/>
      <c r="Q55" s="5"/>
      <c r="R55" s="5"/>
      <c r="S55" s="5"/>
    </row>
    <row r="56" spans="1:34" ht="18">
      <c r="A56" s="62"/>
      <c r="B56" s="112" t="s">
        <v>27</v>
      </c>
      <c r="C56" s="112"/>
      <c r="D56" s="112"/>
      <c r="E56" s="112"/>
      <c r="F56" s="112"/>
      <c r="G56" s="112"/>
      <c r="H56" s="112"/>
      <c r="I56" s="112"/>
      <c r="J56" s="30">
        <f>SUM(J14:J55)</f>
        <v>99999999.980000004</v>
      </c>
      <c r="K56" s="28"/>
      <c r="L56" s="12"/>
      <c r="M56" s="5"/>
      <c r="N56" s="5"/>
      <c r="O56" s="5"/>
      <c r="P56" s="5"/>
      <c r="Q56" s="5"/>
      <c r="R56" s="5"/>
      <c r="S56" s="5"/>
    </row>
    <row r="57" spans="1:34">
      <c r="A57" s="7"/>
      <c r="B57" s="2"/>
      <c r="C57" s="2"/>
      <c r="D57" s="2"/>
      <c r="E57" s="2"/>
      <c r="F57" s="31"/>
      <c r="G57" s="113"/>
      <c r="H57" s="113"/>
      <c r="I57" s="32"/>
      <c r="J57" s="33"/>
      <c r="K57" s="34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ht="16.5">
      <c r="A58" s="7"/>
      <c r="B58" s="114" t="s">
        <v>18</v>
      </c>
      <c r="C58" s="115"/>
      <c r="D58" s="115"/>
      <c r="E58" s="116"/>
      <c r="F58" s="62"/>
      <c r="G58" s="35"/>
      <c r="H58" s="36" t="s">
        <v>34</v>
      </c>
      <c r="I58" s="36"/>
      <c r="J58" s="36"/>
      <c r="K58" s="36"/>
      <c r="L58" s="3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ht="16.5">
      <c r="A59" s="7"/>
      <c r="B59" s="117" t="s">
        <v>19</v>
      </c>
      <c r="C59" s="118"/>
      <c r="D59" s="118"/>
      <c r="E59" s="119"/>
      <c r="F59" s="62"/>
      <c r="G59" s="35"/>
      <c r="H59" s="38"/>
      <c r="I59" s="36" t="s">
        <v>20</v>
      </c>
      <c r="J59" s="36"/>
      <c r="K59" s="36"/>
      <c r="L59" s="3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ht="26.25">
      <c r="A60" s="7"/>
      <c r="B60" s="39" t="s">
        <v>21</v>
      </c>
      <c r="C60" s="7"/>
      <c r="D60" s="7"/>
      <c r="E60" s="7"/>
      <c r="F60" s="40" t="s">
        <v>22</v>
      </c>
      <c r="G60" s="41"/>
      <c r="H60" s="42"/>
      <c r="I60" s="43"/>
      <c r="J60" s="43"/>
      <c r="K60" s="34"/>
      <c r="L60" s="37"/>
      <c r="M60" s="5"/>
      <c r="N60" s="5"/>
      <c r="O60" s="5"/>
      <c r="P60" s="5"/>
      <c r="Q60" s="5"/>
      <c r="R60" s="5"/>
      <c r="S60" s="5"/>
      <c r="T60" s="5">
        <v>2409000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16.5">
      <c r="A61" s="7"/>
      <c r="B61" s="44" t="s">
        <v>23</v>
      </c>
      <c r="C61" s="7"/>
      <c r="D61" s="5"/>
      <c r="E61" s="5"/>
      <c r="F61" s="45"/>
      <c r="G61" s="46"/>
      <c r="H61" s="46"/>
      <c r="I61" s="46"/>
      <c r="J61" s="46"/>
      <c r="K61" s="34"/>
      <c r="L61" s="3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ht="16.5">
      <c r="A62" s="7"/>
      <c r="B62" s="39" t="s">
        <v>24</v>
      </c>
      <c r="C62" s="62"/>
      <c r="D62" s="120"/>
      <c r="E62" s="120"/>
      <c r="F62" s="120"/>
      <c r="G62" s="120"/>
      <c r="H62" s="120"/>
      <c r="I62" s="120"/>
      <c r="J62" s="120"/>
      <c r="K62" s="4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ht="20.25">
      <c r="A63" s="7"/>
      <c r="B63" s="44" t="s">
        <v>25</v>
      </c>
      <c r="C63" s="62"/>
      <c r="D63" s="120"/>
      <c r="E63" s="120"/>
      <c r="F63" s="120"/>
      <c r="G63" s="120"/>
      <c r="H63" s="120"/>
      <c r="I63" s="120"/>
      <c r="J63" s="120"/>
      <c r="K63" s="48"/>
      <c r="L63" s="48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ht="15.75" customHeight="1">
      <c r="A64" s="5"/>
      <c r="B64" s="5"/>
      <c r="C64" s="121" t="s">
        <v>26</v>
      </c>
      <c r="D64" s="120"/>
      <c r="E64" s="120"/>
      <c r="F64" s="120"/>
      <c r="G64" s="120"/>
      <c r="H64" s="120"/>
      <c r="I64" s="120"/>
      <c r="J64" s="4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ht="15.75" customHeight="1">
      <c r="A65" s="5"/>
      <c r="B65" s="5"/>
      <c r="C65" s="122"/>
      <c r="D65" s="123"/>
      <c r="E65" s="123"/>
      <c r="F65" s="123"/>
      <c r="G65" s="123"/>
      <c r="H65" s="123"/>
      <c r="I65" s="1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1:34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ht="15.75" customHeight="1"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3:34" ht="15.75" customHeight="1"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</sheetData>
  <mergeCells count="31">
    <mergeCell ref="C64:I65"/>
    <mergeCell ref="B21:B22"/>
    <mergeCell ref="B23:B28"/>
    <mergeCell ref="B29:B34"/>
    <mergeCell ref="B35:B40"/>
    <mergeCell ref="B41:B51"/>
    <mergeCell ref="B52:B54"/>
    <mergeCell ref="B56:I56"/>
    <mergeCell ref="G57:H57"/>
    <mergeCell ref="B58:E58"/>
    <mergeCell ref="B59:E59"/>
    <mergeCell ref="D62:J63"/>
    <mergeCell ref="C11:F11"/>
    <mergeCell ref="G11:H11"/>
    <mergeCell ref="I11:J11"/>
    <mergeCell ref="B15:B20"/>
    <mergeCell ref="C9:F9"/>
    <mergeCell ref="G9:H9"/>
    <mergeCell ref="I9:J9"/>
    <mergeCell ref="C10:F10"/>
    <mergeCell ref="G10:H10"/>
    <mergeCell ref="I10:J10"/>
    <mergeCell ref="B14:I14"/>
    <mergeCell ref="B8:C8"/>
    <mergeCell ref="D8:E8"/>
    <mergeCell ref="G8:H8"/>
    <mergeCell ref="D2:J2"/>
    <mergeCell ref="D3:J3"/>
    <mergeCell ref="D4:J4"/>
    <mergeCell ref="D5:J5"/>
    <mergeCell ref="B7:J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F10E-ACB3-4FC4-8E04-ABAA43F5E6A8}">
  <dimension ref="A1:AG109"/>
  <sheetViews>
    <sheetView topLeftCell="A13" workbookViewId="0">
      <selection activeCell="C26" sqref="C26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8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</row>
    <row r="2" spans="1:18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</row>
    <row r="3" spans="1:18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</row>
    <row r="4" spans="1:18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</row>
    <row r="5" spans="1:18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</row>
    <row r="6" spans="1:18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</row>
    <row r="7" spans="1:18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</row>
    <row r="8" spans="1:18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</row>
    <row r="9" spans="1:18">
      <c r="A9" s="7"/>
      <c r="B9" s="11" t="s">
        <v>4</v>
      </c>
      <c r="C9" s="106" t="s">
        <v>30</v>
      </c>
      <c r="D9" s="107"/>
      <c r="E9" s="107"/>
      <c r="F9" s="108"/>
      <c r="G9" s="106" t="s">
        <v>33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</row>
    <row r="10" spans="1:18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</row>
    <row r="11" spans="1:18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</row>
    <row r="12" spans="1:18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</row>
    <row r="13" spans="1:18" ht="33.75" customHeight="1">
      <c r="A13" s="71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</row>
    <row r="14" spans="1:18" ht="24.75" customHeight="1">
      <c r="A14" s="71"/>
      <c r="B14" s="132" t="s">
        <v>54</v>
      </c>
      <c r="C14" s="133"/>
      <c r="D14" s="130"/>
      <c r="E14" s="130"/>
      <c r="F14" s="130"/>
      <c r="G14" s="130"/>
      <c r="H14" s="130"/>
      <c r="I14" s="130"/>
      <c r="J14" s="68">
        <f>'T5'!J56</f>
        <v>99999999.980000004</v>
      </c>
      <c r="K14" s="57">
        <f>J14</f>
        <v>99999999.980000004</v>
      </c>
      <c r="L14" s="17"/>
      <c r="M14" s="5"/>
      <c r="N14" s="5"/>
      <c r="O14" s="5"/>
      <c r="P14" s="5"/>
      <c r="Q14" s="5"/>
      <c r="R14" s="5"/>
    </row>
    <row r="15" spans="1:18" ht="19.5" customHeight="1">
      <c r="A15" s="71"/>
      <c r="B15" s="128"/>
      <c r="C15" s="73" t="s">
        <v>76</v>
      </c>
      <c r="D15" s="19"/>
      <c r="E15" s="19"/>
      <c r="F15" s="20"/>
      <c r="G15" s="21"/>
      <c r="H15" s="22"/>
      <c r="I15" s="23"/>
      <c r="J15" s="22">
        <f>-'T5'!J23</f>
        <v>-9455672</v>
      </c>
      <c r="K15" s="22">
        <f>J15+K14</f>
        <v>90544327.980000004</v>
      </c>
      <c r="L15" s="17"/>
      <c r="M15" s="5"/>
      <c r="N15" s="5"/>
      <c r="O15" s="5"/>
      <c r="P15" s="5"/>
      <c r="Q15" s="5"/>
      <c r="R15" s="5"/>
    </row>
    <row r="16" spans="1:18" ht="19.5" customHeight="1">
      <c r="A16" s="71"/>
      <c r="B16" s="128"/>
      <c r="C16" s="74" t="s">
        <v>73</v>
      </c>
      <c r="D16" s="25"/>
      <c r="E16" s="25"/>
      <c r="F16" s="26"/>
      <c r="G16" s="27"/>
      <c r="H16" s="28"/>
      <c r="I16" s="29"/>
      <c r="J16" s="28">
        <f>-'T5'!J25</f>
        <v>-80000</v>
      </c>
      <c r="K16" s="28">
        <f>J16+K15</f>
        <v>90464327.980000004</v>
      </c>
      <c r="L16" s="17"/>
      <c r="M16" s="5"/>
      <c r="N16" s="5"/>
      <c r="O16" s="5"/>
      <c r="P16" s="5"/>
      <c r="Q16" s="5"/>
      <c r="R16" s="5"/>
    </row>
    <row r="17" spans="1:18" ht="19.5" customHeight="1">
      <c r="A17" s="71"/>
      <c r="B17" s="128"/>
      <c r="C17" s="73" t="s">
        <v>74</v>
      </c>
      <c r="D17" s="19"/>
      <c r="E17" s="19"/>
      <c r="F17" s="20"/>
      <c r="G17" s="21"/>
      <c r="H17" s="22"/>
      <c r="I17" s="23"/>
      <c r="J17" s="22">
        <f>9455672*20%</f>
        <v>1891134.4000000001</v>
      </c>
      <c r="K17" s="28">
        <f t="shared" ref="K17:K35" si="0">J17+K16</f>
        <v>92355462.38000001</v>
      </c>
      <c r="L17" s="17"/>
      <c r="M17" s="5"/>
      <c r="N17" s="5"/>
      <c r="O17" s="5"/>
      <c r="P17" s="5"/>
      <c r="Q17" s="5"/>
      <c r="R17" s="5"/>
    </row>
    <row r="18" spans="1:18" ht="19.5" customHeight="1">
      <c r="A18" s="71"/>
      <c r="B18" s="128"/>
      <c r="C18" s="73" t="s">
        <v>75</v>
      </c>
      <c r="D18" s="19"/>
      <c r="E18" s="19"/>
      <c r="F18" s="20"/>
      <c r="G18" s="21"/>
      <c r="H18" s="22"/>
      <c r="I18" s="23"/>
      <c r="J18" s="22">
        <v>210000</v>
      </c>
      <c r="K18" s="28">
        <f t="shared" si="0"/>
        <v>92565462.38000001</v>
      </c>
      <c r="L18" s="17"/>
      <c r="M18" s="5"/>
      <c r="N18" s="5"/>
      <c r="O18" s="5"/>
      <c r="P18" s="5"/>
      <c r="Q18" s="5"/>
      <c r="R18" s="5"/>
    </row>
    <row r="19" spans="1:18" ht="19.5" customHeight="1">
      <c r="A19" s="71"/>
      <c r="B19" s="128">
        <v>45804</v>
      </c>
      <c r="C19" s="73" t="s">
        <v>77</v>
      </c>
      <c r="D19" s="19">
        <v>4.18</v>
      </c>
      <c r="E19" s="19">
        <v>4.2699999999999996</v>
      </c>
      <c r="F19" s="20">
        <v>2</v>
      </c>
      <c r="G19" s="21">
        <f>E19*D19</f>
        <v>17.848599999999998</v>
      </c>
      <c r="H19" s="22">
        <v>1148000</v>
      </c>
      <c r="I19" s="23" t="s">
        <v>38</v>
      </c>
      <c r="J19" s="22">
        <f>H19*G19*F19</f>
        <v>40980385.599999994</v>
      </c>
      <c r="K19" s="28">
        <f t="shared" si="0"/>
        <v>133545847.98</v>
      </c>
      <c r="L19" s="17"/>
      <c r="M19" s="5"/>
      <c r="N19" s="5"/>
      <c r="O19" s="5"/>
      <c r="P19" s="5"/>
      <c r="Q19" s="5"/>
      <c r="R19" s="5"/>
    </row>
    <row r="20" spans="1:18" ht="19.5" customHeight="1">
      <c r="A20" s="71"/>
      <c r="B20" s="128"/>
      <c r="C20" s="75" t="s">
        <v>39</v>
      </c>
      <c r="D20" s="54"/>
      <c r="E20" s="54"/>
      <c r="F20" s="55">
        <v>2</v>
      </c>
      <c r="G20" s="56">
        <f>G19</f>
        <v>17.848599999999998</v>
      </c>
      <c r="H20" s="57">
        <f>H19*-15%</f>
        <v>-172200</v>
      </c>
      <c r="I20" s="58" t="s">
        <v>38</v>
      </c>
      <c r="J20" s="57">
        <f>H20*F20*G20</f>
        <v>-6147057.8399999989</v>
      </c>
      <c r="K20" s="28">
        <f t="shared" si="0"/>
        <v>127398790.14</v>
      </c>
      <c r="L20" s="17"/>
      <c r="M20" s="5"/>
      <c r="N20" s="5"/>
      <c r="O20" s="5"/>
      <c r="P20" s="5"/>
      <c r="Q20" s="5"/>
      <c r="R20" s="5"/>
    </row>
    <row r="21" spans="1:18" ht="19.5" customHeight="1">
      <c r="A21" s="71"/>
      <c r="B21" s="128"/>
      <c r="C21" s="73" t="s">
        <v>43</v>
      </c>
      <c r="D21" s="19"/>
      <c r="E21" s="19"/>
      <c r="F21" s="20">
        <v>2</v>
      </c>
      <c r="G21" s="21"/>
      <c r="H21" s="22">
        <v>80000</v>
      </c>
      <c r="I21" s="23" t="s">
        <v>44</v>
      </c>
      <c r="J21" s="22">
        <f>H21*F21</f>
        <v>160000</v>
      </c>
      <c r="K21" s="28">
        <f t="shared" si="0"/>
        <v>127558790.14</v>
      </c>
      <c r="L21" s="17"/>
      <c r="M21" s="5"/>
      <c r="N21" s="5"/>
      <c r="O21" s="5"/>
      <c r="P21" s="5"/>
      <c r="Q21" s="5"/>
      <c r="R21" s="5"/>
    </row>
    <row r="22" spans="1:18" ht="19.5" customHeight="1">
      <c r="A22" s="71"/>
      <c r="B22" s="128"/>
      <c r="C22" s="73" t="s">
        <v>40</v>
      </c>
      <c r="D22" s="19">
        <v>4.0999999999999996</v>
      </c>
      <c r="E22" s="19"/>
      <c r="F22" s="20">
        <v>4</v>
      </c>
      <c r="G22" s="21"/>
      <c r="H22" s="22">
        <v>140000</v>
      </c>
      <c r="I22" s="23" t="s">
        <v>29</v>
      </c>
      <c r="J22" s="22">
        <f>H22*F22*D22</f>
        <v>2296000</v>
      </c>
      <c r="K22" s="28">
        <f t="shared" si="0"/>
        <v>129854790.14</v>
      </c>
      <c r="L22" s="17"/>
      <c r="M22" s="5"/>
      <c r="N22" s="5"/>
      <c r="O22" s="5"/>
      <c r="P22" s="5"/>
      <c r="Q22" s="5"/>
      <c r="R22" s="5"/>
    </row>
    <row r="23" spans="1:18" ht="19.5" customHeight="1">
      <c r="A23" s="71"/>
      <c r="B23" s="128"/>
      <c r="C23" s="73" t="s">
        <v>46</v>
      </c>
      <c r="D23" s="19"/>
      <c r="E23" s="19"/>
      <c r="F23" s="20">
        <v>2</v>
      </c>
      <c r="G23" s="21"/>
      <c r="H23" s="22">
        <v>90000</v>
      </c>
      <c r="I23" s="23" t="s">
        <v>47</v>
      </c>
      <c r="J23" s="22">
        <f>H23*F23</f>
        <v>180000</v>
      </c>
      <c r="K23" s="28">
        <f t="shared" si="0"/>
        <v>130034790.14</v>
      </c>
      <c r="L23" s="17"/>
      <c r="M23" s="5"/>
      <c r="N23" s="5"/>
      <c r="O23" s="5"/>
      <c r="P23" s="5"/>
      <c r="Q23" s="5"/>
      <c r="R23" s="5"/>
    </row>
    <row r="24" spans="1:18" ht="19.5" customHeight="1">
      <c r="A24" s="71"/>
      <c r="B24" s="128"/>
      <c r="C24" s="73" t="s">
        <v>78</v>
      </c>
      <c r="D24" s="19"/>
      <c r="E24" s="19"/>
      <c r="F24" s="20">
        <v>12</v>
      </c>
      <c r="G24" s="21"/>
      <c r="H24" s="22">
        <v>19000</v>
      </c>
      <c r="I24" s="23" t="s">
        <v>42</v>
      </c>
      <c r="J24" s="22">
        <f>H24*F24</f>
        <v>228000</v>
      </c>
      <c r="K24" s="28">
        <f t="shared" si="0"/>
        <v>130262790.14</v>
      </c>
      <c r="L24" s="17"/>
      <c r="M24" s="5"/>
      <c r="N24" s="5"/>
      <c r="O24" s="5"/>
      <c r="P24" s="5"/>
      <c r="Q24" s="5"/>
      <c r="R24" s="5"/>
    </row>
    <row r="25" spans="1:18" ht="19.5" customHeight="1">
      <c r="A25" s="72"/>
      <c r="B25" s="124">
        <v>45806</v>
      </c>
      <c r="C25" s="77" t="s">
        <v>79</v>
      </c>
      <c r="D25" s="19">
        <v>3.9</v>
      </c>
      <c r="E25" s="19">
        <v>7.5</v>
      </c>
      <c r="F25" s="20">
        <v>1</v>
      </c>
      <c r="G25" s="21">
        <f>E25*D25</f>
        <v>29.25</v>
      </c>
      <c r="H25" s="22">
        <v>1534000</v>
      </c>
      <c r="I25" s="23" t="s">
        <v>38</v>
      </c>
      <c r="J25" s="22">
        <f>H25*G25</f>
        <v>44869500</v>
      </c>
      <c r="K25" s="28">
        <f t="shared" si="0"/>
        <v>175132290.13999999</v>
      </c>
      <c r="L25" s="17"/>
      <c r="M25" s="5"/>
      <c r="N25" s="5"/>
      <c r="O25" s="5"/>
      <c r="P25" s="5"/>
      <c r="Q25" s="5"/>
      <c r="R25" s="5"/>
    </row>
    <row r="26" spans="1:18" ht="19.5" customHeight="1">
      <c r="A26" s="72"/>
      <c r="B26" s="125"/>
      <c r="C26" s="75" t="s">
        <v>39</v>
      </c>
      <c r="D26" s="54"/>
      <c r="E26" s="54"/>
      <c r="F26" s="55">
        <v>1</v>
      </c>
      <c r="G26" s="56">
        <f>G25</f>
        <v>29.25</v>
      </c>
      <c r="H26" s="57">
        <f>H25*-15%</f>
        <v>-230100</v>
      </c>
      <c r="I26" s="58" t="s">
        <v>38</v>
      </c>
      <c r="J26" s="57">
        <f>H26*F26*G26</f>
        <v>-6730425</v>
      </c>
      <c r="K26" s="28">
        <f>J26+K25</f>
        <v>168401865.13999999</v>
      </c>
      <c r="L26" s="17"/>
      <c r="M26" s="5"/>
      <c r="N26" s="5"/>
      <c r="O26" s="5"/>
      <c r="P26" s="5"/>
      <c r="Q26" s="5"/>
      <c r="R26" s="5"/>
    </row>
    <row r="27" spans="1:18" ht="19.5" customHeight="1">
      <c r="A27" s="72"/>
      <c r="B27" s="125"/>
      <c r="C27" s="73" t="s">
        <v>43</v>
      </c>
      <c r="D27" s="19"/>
      <c r="E27" s="19"/>
      <c r="F27" s="20">
        <v>1</v>
      </c>
      <c r="G27" s="21"/>
      <c r="H27" s="22">
        <v>80000</v>
      </c>
      <c r="I27" s="23" t="s">
        <v>44</v>
      </c>
      <c r="J27" s="22">
        <f>H27*F27</f>
        <v>80000</v>
      </c>
      <c r="K27" s="28">
        <f t="shared" si="0"/>
        <v>168481865.13999999</v>
      </c>
      <c r="L27" s="17"/>
      <c r="M27" s="5"/>
      <c r="N27" s="5"/>
      <c r="O27" s="5"/>
      <c r="P27" s="5"/>
      <c r="Q27" s="5"/>
      <c r="R27" s="5"/>
    </row>
    <row r="28" spans="1:18" ht="19.5" customHeight="1">
      <c r="A28" s="72"/>
      <c r="B28" s="125"/>
      <c r="C28" s="73" t="s">
        <v>80</v>
      </c>
      <c r="D28" s="19">
        <v>3.8</v>
      </c>
      <c r="E28" s="19"/>
      <c r="F28" s="20">
        <v>2</v>
      </c>
      <c r="G28" s="21"/>
      <c r="H28" s="22">
        <v>210000</v>
      </c>
      <c r="I28" s="23" t="s">
        <v>29</v>
      </c>
      <c r="J28" s="22">
        <f>H28*F28*D28</f>
        <v>1596000</v>
      </c>
      <c r="K28" s="28">
        <f t="shared" si="0"/>
        <v>170077865.13999999</v>
      </c>
      <c r="L28" s="17"/>
      <c r="M28" s="5"/>
      <c r="N28" s="5"/>
      <c r="O28" s="5"/>
      <c r="P28" s="5"/>
      <c r="Q28" s="5"/>
      <c r="R28" s="5"/>
    </row>
    <row r="29" spans="1:18" ht="19.5" customHeight="1">
      <c r="A29" s="72"/>
      <c r="B29" s="125"/>
      <c r="C29" s="73" t="s">
        <v>78</v>
      </c>
      <c r="D29" s="19"/>
      <c r="E29" s="19"/>
      <c r="F29" s="20">
        <v>11</v>
      </c>
      <c r="G29" s="21"/>
      <c r="H29" s="22">
        <v>19000</v>
      </c>
      <c r="I29" s="23" t="s">
        <v>42</v>
      </c>
      <c r="J29" s="22">
        <f>H29*F29</f>
        <v>209000</v>
      </c>
      <c r="K29" s="28">
        <f t="shared" si="0"/>
        <v>170286865.13999999</v>
      </c>
      <c r="L29" s="17"/>
      <c r="M29" s="5"/>
      <c r="N29" s="5"/>
      <c r="O29" s="5"/>
      <c r="P29" s="5"/>
      <c r="Q29" s="5"/>
      <c r="R29" s="5"/>
    </row>
    <row r="30" spans="1:18" ht="19.5" customHeight="1">
      <c r="A30" s="72"/>
      <c r="B30" s="125"/>
      <c r="C30" s="77" t="s">
        <v>81</v>
      </c>
      <c r="D30" s="19">
        <v>3.8</v>
      </c>
      <c r="E30" s="19">
        <v>4.5999999999999996</v>
      </c>
      <c r="F30" s="20">
        <v>1</v>
      </c>
      <c r="G30" s="21">
        <f>E30*D30</f>
        <v>17.479999999999997</v>
      </c>
      <c r="H30" s="22">
        <v>1246000</v>
      </c>
      <c r="I30" s="23" t="s">
        <v>38</v>
      </c>
      <c r="J30" s="22">
        <f>H30*G30</f>
        <v>21780079.999999996</v>
      </c>
      <c r="K30" s="28">
        <f t="shared" si="0"/>
        <v>192066945.13999999</v>
      </c>
      <c r="L30" s="17"/>
      <c r="M30" s="5"/>
      <c r="N30" s="5"/>
      <c r="O30" s="5"/>
      <c r="P30" s="5"/>
      <c r="Q30" s="5"/>
      <c r="R30" s="5"/>
    </row>
    <row r="31" spans="1:18" ht="19.5" customHeight="1">
      <c r="A31" s="72"/>
      <c r="B31" s="125"/>
      <c r="C31" s="77" t="s">
        <v>81</v>
      </c>
      <c r="D31" s="19">
        <v>3.8</v>
      </c>
      <c r="E31" s="19">
        <v>4.87</v>
      </c>
      <c r="F31" s="20">
        <v>1</v>
      </c>
      <c r="G31" s="21">
        <f>E31*D31</f>
        <v>18.506</v>
      </c>
      <c r="H31" s="22">
        <v>1246000</v>
      </c>
      <c r="I31" s="23" t="s">
        <v>38</v>
      </c>
      <c r="J31" s="22">
        <f>H31*G31</f>
        <v>23058476</v>
      </c>
      <c r="K31" s="28">
        <f t="shared" si="0"/>
        <v>215125421.13999999</v>
      </c>
      <c r="L31" s="17"/>
      <c r="M31" s="5"/>
      <c r="N31" s="5"/>
      <c r="O31" s="5"/>
      <c r="P31" s="5"/>
      <c r="Q31" s="5"/>
      <c r="R31" s="5"/>
    </row>
    <row r="32" spans="1:18" ht="19.5" customHeight="1">
      <c r="A32" s="72"/>
      <c r="B32" s="125"/>
      <c r="C32" s="75" t="s">
        <v>39</v>
      </c>
      <c r="D32" s="54"/>
      <c r="E32" s="54"/>
      <c r="F32" s="55">
        <v>1</v>
      </c>
      <c r="G32" s="56">
        <f>G31+G30</f>
        <v>35.985999999999997</v>
      </c>
      <c r="H32" s="57">
        <f>H31*-15%</f>
        <v>-186900</v>
      </c>
      <c r="I32" s="58" t="s">
        <v>38</v>
      </c>
      <c r="J32" s="57">
        <f>H32*F32*G32</f>
        <v>-6725783.3999999994</v>
      </c>
      <c r="K32" s="28">
        <f t="shared" si="0"/>
        <v>208399637.73999998</v>
      </c>
      <c r="L32" s="17"/>
      <c r="M32" s="5"/>
      <c r="N32" s="5"/>
      <c r="O32" s="5"/>
      <c r="P32" s="5"/>
      <c r="Q32" s="5"/>
      <c r="R32" s="5"/>
    </row>
    <row r="33" spans="1:33" ht="19.5" customHeight="1">
      <c r="A33" s="72"/>
      <c r="B33" s="125"/>
      <c r="C33" s="73" t="s">
        <v>43</v>
      </c>
      <c r="D33" s="19"/>
      <c r="E33" s="19"/>
      <c r="F33" s="20">
        <v>2</v>
      </c>
      <c r="G33" s="21"/>
      <c r="H33" s="22">
        <v>80000</v>
      </c>
      <c r="I33" s="23" t="s">
        <v>44</v>
      </c>
      <c r="J33" s="22">
        <f>H33*F33</f>
        <v>160000</v>
      </c>
      <c r="K33" s="28">
        <f t="shared" si="0"/>
        <v>208559637.73999998</v>
      </c>
      <c r="L33" s="17"/>
      <c r="M33" s="5"/>
      <c r="N33" s="5"/>
      <c r="O33" s="5"/>
      <c r="P33" s="5"/>
      <c r="Q33" s="5"/>
      <c r="R33" s="5"/>
    </row>
    <row r="34" spans="1:33" ht="19.5" customHeight="1">
      <c r="A34" s="72"/>
      <c r="B34" s="125"/>
      <c r="C34" s="73" t="s">
        <v>40</v>
      </c>
      <c r="D34" s="19">
        <v>3.7</v>
      </c>
      <c r="E34" s="19"/>
      <c r="F34" s="20">
        <v>4</v>
      </c>
      <c r="G34" s="21"/>
      <c r="H34" s="22">
        <v>120000</v>
      </c>
      <c r="I34" s="23" t="s">
        <v>29</v>
      </c>
      <c r="J34" s="22">
        <f>H34*F34*D34</f>
        <v>1776000</v>
      </c>
      <c r="K34" s="28">
        <f t="shared" si="0"/>
        <v>210335637.73999998</v>
      </c>
      <c r="L34" s="17"/>
      <c r="M34" s="5"/>
      <c r="N34" s="5"/>
      <c r="O34" s="5"/>
      <c r="P34" s="5"/>
      <c r="Q34" s="5"/>
      <c r="R34" s="5"/>
    </row>
    <row r="35" spans="1:33" ht="19.5" customHeight="1">
      <c r="A35" s="72"/>
      <c r="B35" s="131"/>
      <c r="C35" s="73" t="s">
        <v>78</v>
      </c>
      <c r="D35" s="19"/>
      <c r="E35" s="19"/>
      <c r="F35" s="20">
        <v>14</v>
      </c>
      <c r="G35" s="21"/>
      <c r="H35" s="22">
        <v>19000</v>
      </c>
      <c r="I35" s="23" t="s">
        <v>42</v>
      </c>
      <c r="J35" s="22">
        <f>H35*F35</f>
        <v>266000</v>
      </c>
      <c r="K35" s="28">
        <f t="shared" si="0"/>
        <v>210601637.73999998</v>
      </c>
      <c r="L35" s="17"/>
      <c r="M35" s="5"/>
      <c r="N35" s="5"/>
      <c r="O35" s="5"/>
      <c r="P35" s="5"/>
      <c r="Q35" s="5"/>
      <c r="R35" s="5"/>
    </row>
    <row r="36" spans="1:33" ht="18">
      <c r="A36" s="71"/>
      <c r="B36" s="112" t="s">
        <v>27</v>
      </c>
      <c r="C36" s="112"/>
      <c r="D36" s="112"/>
      <c r="E36" s="112"/>
      <c r="F36" s="112"/>
      <c r="G36" s="112"/>
      <c r="H36" s="112"/>
      <c r="I36" s="112"/>
      <c r="J36" s="30">
        <f>SUM(J14:J35)</f>
        <v>210601637.73999998</v>
      </c>
      <c r="K36" s="28"/>
      <c r="L36" s="12"/>
      <c r="M36" s="5"/>
      <c r="N36" s="5"/>
      <c r="O36" s="5"/>
      <c r="P36" s="5"/>
      <c r="Q36" s="5"/>
      <c r="R36" s="5"/>
    </row>
    <row r="37" spans="1:33">
      <c r="A37" s="7"/>
      <c r="B37" s="2"/>
      <c r="C37" s="2"/>
      <c r="D37" s="2"/>
      <c r="E37" s="2"/>
      <c r="F37" s="31"/>
      <c r="G37" s="113"/>
      <c r="H37" s="113"/>
      <c r="I37" s="32"/>
      <c r="J37" s="33"/>
      <c r="K37" s="34"/>
      <c r="L37" s="1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6.5">
      <c r="A38" s="7"/>
      <c r="B38" s="114" t="s">
        <v>18</v>
      </c>
      <c r="C38" s="115"/>
      <c r="D38" s="115"/>
      <c r="E38" s="116"/>
      <c r="F38" s="71"/>
      <c r="G38" s="35"/>
      <c r="H38" s="36" t="s">
        <v>34</v>
      </c>
      <c r="I38" s="36"/>
      <c r="J38" s="36"/>
      <c r="K38" s="36"/>
      <c r="L38" s="3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6.5">
      <c r="A39" s="7"/>
      <c r="B39" s="117" t="s">
        <v>19</v>
      </c>
      <c r="C39" s="118"/>
      <c r="D39" s="118"/>
      <c r="E39" s="119"/>
      <c r="F39" s="71"/>
      <c r="G39" s="35"/>
      <c r="H39" s="38"/>
      <c r="I39" s="36" t="s">
        <v>20</v>
      </c>
      <c r="J39" s="36"/>
      <c r="K39" s="36"/>
      <c r="L39" s="3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26.25">
      <c r="A40" s="7"/>
      <c r="B40" s="39" t="s">
        <v>21</v>
      </c>
      <c r="C40" s="7"/>
      <c r="D40" s="7"/>
      <c r="E40" s="7"/>
      <c r="F40" s="40" t="s">
        <v>22</v>
      </c>
      <c r="G40" s="41"/>
      <c r="H40" s="42"/>
      <c r="I40" s="43"/>
      <c r="J40" s="43"/>
      <c r="K40" s="34"/>
      <c r="L40" s="37"/>
      <c r="M40" s="5"/>
      <c r="N40" s="5"/>
      <c r="O40" s="5"/>
      <c r="P40" s="5"/>
      <c r="Q40" s="5"/>
      <c r="R40" s="5"/>
      <c r="S40" s="5">
        <v>2409000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6.5">
      <c r="A41" s="7"/>
      <c r="B41" s="44" t="s">
        <v>23</v>
      </c>
      <c r="C41" s="7"/>
      <c r="D41" s="5"/>
      <c r="E41" s="5"/>
      <c r="F41" s="45"/>
      <c r="G41" s="46"/>
      <c r="H41" s="46"/>
      <c r="I41" s="46"/>
      <c r="J41" s="46"/>
      <c r="K41" s="34"/>
      <c r="L41" s="3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6.5">
      <c r="A42" s="7"/>
      <c r="B42" s="39" t="s">
        <v>24</v>
      </c>
      <c r="C42" s="71"/>
      <c r="D42" s="120"/>
      <c r="E42" s="120"/>
      <c r="F42" s="120"/>
      <c r="G42" s="120"/>
      <c r="H42" s="120"/>
      <c r="I42" s="120"/>
      <c r="J42" s="120"/>
      <c r="K42" s="4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20.25">
      <c r="A43" s="7"/>
      <c r="B43" s="44" t="s">
        <v>25</v>
      </c>
      <c r="C43" s="71"/>
      <c r="D43" s="120"/>
      <c r="E43" s="120"/>
      <c r="F43" s="120"/>
      <c r="G43" s="120"/>
      <c r="H43" s="120"/>
      <c r="I43" s="120"/>
      <c r="J43" s="120"/>
      <c r="K43" s="48"/>
      <c r="L43" s="48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>
      <c r="A44" s="5"/>
      <c r="B44" s="5"/>
      <c r="C44" s="121" t="s">
        <v>26</v>
      </c>
      <c r="D44" s="120"/>
      <c r="E44" s="120"/>
      <c r="F44" s="120"/>
      <c r="G44" s="120"/>
      <c r="H44" s="120"/>
      <c r="I44" s="120"/>
      <c r="J44" s="4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>
      <c r="A45" s="5"/>
      <c r="B45" s="5"/>
      <c r="C45" s="122"/>
      <c r="D45" s="123"/>
      <c r="E45" s="123"/>
      <c r="F45" s="123"/>
      <c r="G45" s="123"/>
      <c r="H45" s="123"/>
      <c r="I45" s="1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5.75" customHeight="1"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5.75" customHeight="1"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</sheetData>
  <mergeCells count="27">
    <mergeCell ref="B8:C8"/>
    <mergeCell ref="D8:E8"/>
    <mergeCell ref="G8:H8"/>
    <mergeCell ref="B25:B35"/>
    <mergeCell ref="D2:J2"/>
    <mergeCell ref="D3:J3"/>
    <mergeCell ref="D4:J4"/>
    <mergeCell ref="D5:J5"/>
    <mergeCell ref="B7:J7"/>
    <mergeCell ref="C9:F9"/>
    <mergeCell ref="G9:H9"/>
    <mergeCell ref="I9:J9"/>
    <mergeCell ref="C10:F10"/>
    <mergeCell ref="G10:H10"/>
    <mergeCell ref="I10:J10"/>
    <mergeCell ref="B15:B18"/>
    <mergeCell ref="B19:B24"/>
    <mergeCell ref="B36:I36"/>
    <mergeCell ref="C11:F11"/>
    <mergeCell ref="G11:H11"/>
    <mergeCell ref="I11:J11"/>
    <mergeCell ref="B14:I14"/>
    <mergeCell ref="G37:H37"/>
    <mergeCell ref="B38:E38"/>
    <mergeCell ref="B39:E39"/>
    <mergeCell ref="D42:J43"/>
    <mergeCell ref="C44:I4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A6C0-EF6F-490C-8472-B2427B2C7562}">
  <dimension ref="A1:AG101"/>
  <sheetViews>
    <sheetView topLeftCell="A13" workbookViewId="0">
      <selection activeCell="C26" sqref="C26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8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</row>
    <row r="2" spans="1:18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</row>
    <row r="3" spans="1:18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</row>
    <row r="4" spans="1:18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</row>
    <row r="5" spans="1:18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</row>
    <row r="6" spans="1:18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</row>
    <row r="7" spans="1:18" ht="33.75">
      <c r="A7" s="7"/>
      <c r="B7" s="103" t="s">
        <v>35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</row>
    <row r="8" spans="1:18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</row>
    <row r="9" spans="1:18">
      <c r="A9" s="7"/>
      <c r="B9" s="11" t="s">
        <v>4</v>
      </c>
      <c r="C9" s="106" t="s">
        <v>30</v>
      </c>
      <c r="D9" s="107"/>
      <c r="E9" s="107"/>
      <c r="F9" s="108"/>
      <c r="G9" s="106" t="s">
        <v>33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</row>
    <row r="10" spans="1:18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</row>
    <row r="11" spans="1:18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</row>
    <row r="12" spans="1:18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</row>
    <row r="13" spans="1:18" ht="33.75" customHeight="1">
      <c r="A13" s="76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</row>
    <row r="14" spans="1:18" ht="24.75" customHeight="1">
      <c r="A14" s="76"/>
      <c r="B14" s="132" t="s">
        <v>54</v>
      </c>
      <c r="C14" s="133"/>
      <c r="D14" s="130"/>
      <c r="E14" s="130"/>
      <c r="F14" s="130"/>
      <c r="G14" s="130"/>
      <c r="H14" s="130"/>
      <c r="I14" s="130"/>
      <c r="J14" s="68">
        <f>'T5.1'!J36</f>
        <v>210601637.73999998</v>
      </c>
      <c r="K14" s="57">
        <f>J14</f>
        <v>210601637.73999998</v>
      </c>
      <c r="L14" s="17"/>
      <c r="M14" s="5"/>
      <c r="N14" s="5"/>
      <c r="O14" s="5"/>
      <c r="P14" s="5"/>
      <c r="Q14" s="5"/>
      <c r="R14" s="5"/>
    </row>
    <row r="15" spans="1:18" ht="19.5" customHeight="1">
      <c r="A15" s="76"/>
      <c r="B15" s="128">
        <v>45806</v>
      </c>
      <c r="C15" s="73" t="s">
        <v>87</v>
      </c>
      <c r="D15" s="19">
        <f>22*0.05</f>
        <v>1.1000000000000001</v>
      </c>
      <c r="E15" s="19">
        <v>4.8499999999999996</v>
      </c>
      <c r="F15" s="20">
        <v>1</v>
      </c>
      <c r="G15" s="21">
        <f>E15*D15</f>
        <v>5.335</v>
      </c>
      <c r="H15" s="22">
        <v>1155000</v>
      </c>
      <c r="I15" s="23" t="s">
        <v>38</v>
      </c>
      <c r="J15" s="22">
        <f>H15*G15</f>
        <v>6161925</v>
      </c>
      <c r="K15" s="28">
        <f>K14+J15</f>
        <v>216763562.73999998</v>
      </c>
      <c r="L15" s="17"/>
      <c r="M15" s="5"/>
      <c r="N15" s="5"/>
      <c r="O15" s="5"/>
      <c r="P15" s="5"/>
      <c r="Q15" s="5"/>
      <c r="R15" s="5"/>
    </row>
    <row r="16" spans="1:18" ht="19.5" customHeight="1">
      <c r="A16" s="76"/>
      <c r="B16" s="128"/>
      <c r="C16" s="73" t="s">
        <v>88</v>
      </c>
      <c r="D16" s="19"/>
      <c r="E16" s="19"/>
      <c r="F16" s="20"/>
      <c r="G16" s="21"/>
      <c r="H16" s="22"/>
      <c r="I16" s="23"/>
      <c r="J16" s="22">
        <v>-2000000</v>
      </c>
      <c r="K16" s="28">
        <f t="shared" ref="K16:K27" si="0">J16+K15</f>
        <v>214763562.73999998</v>
      </c>
      <c r="L16" s="17"/>
      <c r="M16" s="5"/>
      <c r="N16" s="5"/>
      <c r="O16" s="5"/>
      <c r="P16" s="5"/>
      <c r="Q16" s="5"/>
      <c r="R16" s="5"/>
    </row>
    <row r="17" spans="1:33" ht="19.5" customHeight="1">
      <c r="A17" s="76"/>
      <c r="B17" s="128">
        <v>45811</v>
      </c>
      <c r="C17" s="73" t="s">
        <v>86</v>
      </c>
      <c r="D17" s="19">
        <v>3.6</v>
      </c>
      <c r="E17" s="19">
        <v>5.79</v>
      </c>
      <c r="F17" s="20">
        <v>1</v>
      </c>
      <c r="G17" s="21">
        <f>E17*D17</f>
        <v>20.844000000000001</v>
      </c>
      <c r="H17" s="22">
        <v>1090000</v>
      </c>
      <c r="I17" s="23" t="s">
        <v>38</v>
      </c>
      <c r="J17" s="22">
        <f>H17*G17</f>
        <v>22719960</v>
      </c>
      <c r="K17" s="28">
        <f t="shared" si="0"/>
        <v>237483522.73999998</v>
      </c>
      <c r="L17" s="17"/>
      <c r="M17" s="5"/>
      <c r="N17" s="5"/>
      <c r="O17" s="5"/>
      <c r="P17" s="5"/>
      <c r="Q17" s="5"/>
      <c r="R17" s="5"/>
    </row>
    <row r="18" spans="1:33" ht="19.5" customHeight="1">
      <c r="A18" s="76"/>
      <c r="B18" s="128"/>
      <c r="C18" s="75" t="s">
        <v>39</v>
      </c>
      <c r="D18" s="54"/>
      <c r="E18" s="54"/>
      <c r="F18" s="55">
        <v>1</v>
      </c>
      <c r="G18" s="56">
        <f>G17</f>
        <v>20.844000000000001</v>
      </c>
      <c r="H18" s="57">
        <f>H17*-15%</f>
        <v>-163500</v>
      </c>
      <c r="I18" s="58" t="s">
        <v>38</v>
      </c>
      <c r="J18" s="57">
        <f>H18*G18</f>
        <v>-3407994</v>
      </c>
      <c r="K18" s="28">
        <f t="shared" si="0"/>
        <v>234075528.73999998</v>
      </c>
      <c r="L18" s="17"/>
      <c r="M18" s="5"/>
      <c r="N18" s="5"/>
      <c r="O18" s="5"/>
      <c r="P18" s="5"/>
      <c r="Q18" s="5"/>
      <c r="R18" s="5"/>
    </row>
    <row r="19" spans="1:33" ht="19.5" customHeight="1">
      <c r="A19" s="76"/>
      <c r="B19" s="128"/>
      <c r="C19" s="73" t="s">
        <v>43</v>
      </c>
      <c r="D19" s="19"/>
      <c r="E19" s="19"/>
      <c r="F19" s="20">
        <v>1</v>
      </c>
      <c r="G19" s="21"/>
      <c r="H19" s="22">
        <v>80000</v>
      </c>
      <c r="I19" s="23" t="s">
        <v>44</v>
      </c>
      <c r="J19" s="22">
        <f>H19</f>
        <v>80000</v>
      </c>
      <c r="K19" s="28">
        <f t="shared" si="0"/>
        <v>234155528.73999998</v>
      </c>
      <c r="L19" s="17"/>
      <c r="M19" s="5"/>
      <c r="N19" s="5"/>
      <c r="O19" s="5"/>
      <c r="P19" s="5"/>
      <c r="Q19" s="5"/>
      <c r="R19" s="5"/>
    </row>
    <row r="20" spans="1:33" ht="19.5" customHeight="1">
      <c r="A20" s="76"/>
      <c r="B20" s="128"/>
      <c r="C20" s="73" t="s">
        <v>40</v>
      </c>
      <c r="D20" s="19">
        <v>3.5</v>
      </c>
      <c r="E20" s="19"/>
      <c r="F20" s="20">
        <v>2</v>
      </c>
      <c r="G20" s="21"/>
      <c r="H20" s="22">
        <v>140000</v>
      </c>
      <c r="I20" s="23" t="s">
        <v>29</v>
      </c>
      <c r="J20" s="22">
        <f>H20*F20*D20</f>
        <v>980000</v>
      </c>
      <c r="K20" s="28">
        <f t="shared" si="0"/>
        <v>235135528.73999998</v>
      </c>
      <c r="L20" s="17"/>
      <c r="M20" s="5"/>
      <c r="N20" s="5"/>
      <c r="O20" s="5"/>
      <c r="P20" s="5"/>
      <c r="Q20" s="5"/>
      <c r="R20" s="5"/>
    </row>
    <row r="21" spans="1:33" ht="19.5" customHeight="1">
      <c r="A21" s="76"/>
      <c r="B21" s="128"/>
      <c r="C21" s="73" t="s">
        <v>41</v>
      </c>
      <c r="D21" s="19"/>
      <c r="E21" s="19"/>
      <c r="F21" s="20">
        <v>8</v>
      </c>
      <c r="G21" s="21"/>
      <c r="H21" s="22">
        <v>19000</v>
      </c>
      <c r="I21" s="23" t="s">
        <v>42</v>
      </c>
      <c r="J21" s="22">
        <f>H21*F21</f>
        <v>152000</v>
      </c>
      <c r="K21" s="28">
        <f t="shared" si="0"/>
        <v>235287528.73999998</v>
      </c>
      <c r="L21" s="17"/>
      <c r="M21" s="5"/>
      <c r="N21" s="5"/>
      <c r="O21" s="5"/>
      <c r="P21" s="5"/>
      <c r="Q21" s="5"/>
      <c r="R21" s="5"/>
    </row>
    <row r="22" spans="1:33" ht="19.5" customHeight="1">
      <c r="A22" s="76"/>
      <c r="B22" s="128"/>
      <c r="C22" s="73" t="s">
        <v>46</v>
      </c>
      <c r="D22" s="19"/>
      <c r="E22" s="19"/>
      <c r="F22" s="20">
        <v>1</v>
      </c>
      <c r="G22" s="21"/>
      <c r="H22" s="22">
        <v>90000</v>
      </c>
      <c r="I22" s="23" t="s">
        <v>47</v>
      </c>
      <c r="J22" s="22">
        <f>H22</f>
        <v>90000</v>
      </c>
      <c r="K22" s="28">
        <f t="shared" si="0"/>
        <v>235377528.73999998</v>
      </c>
      <c r="L22" s="17"/>
      <c r="M22" s="5"/>
      <c r="N22" s="5"/>
      <c r="O22" s="5"/>
      <c r="P22" s="5"/>
      <c r="Q22" s="5"/>
      <c r="R22" s="5"/>
    </row>
    <row r="23" spans="1:33" ht="19.5" customHeight="1">
      <c r="A23" s="76"/>
      <c r="B23" s="128">
        <v>45821</v>
      </c>
      <c r="C23" s="73" t="s">
        <v>83</v>
      </c>
      <c r="D23" s="19">
        <v>3.15</v>
      </c>
      <c r="E23" s="19">
        <v>3.18</v>
      </c>
      <c r="F23" s="20">
        <v>1</v>
      </c>
      <c r="G23" s="21">
        <f>E23*D23</f>
        <v>10.016999999999999</v>
      </c>
      <c r="H23" s="22">
        <v>350000</v>
      </c>
      <c r="I23" s="23" t="s">
        <v>38</v>
      </c>
      <c r="J23" s="22">
        <f>H23*G23</f>
        <v>3505950</v>
      </c>
      <c r="K23" s="28">
        <f t="shared" si="0"/>
        <v>238883478.73999998</v>
      </c>
      <c r="L23" s="17"/>
      <c r="M23" s="5"/>
      <c r="N23" s="5"/>
      <c r="O23" s="5"/>
      <c r="P23" s="5"/>
      <c r="Q23" s="5"/>
      <c r="R23" s="5"/>
    </row>
    <row r="24" spans="1:33" ht="19.5" customHeight="1">
      <c r="A24" s="76"/>
      <c r="B24" s="128"/>
      <c r="C24" s="73" t="s">
        <v>82</v>
      </c>
      <c r="D24" s="19">
        <v>3</v>
      </c>
      <c r="E24" s="19"/>
      <c r="F24" s="20">
        <v>2</v>
      </c>
      <c r="G24" s="21"/>
      <c r="H24" s="22">
        <v>-40000</v>
      </c>
      <c r="I24" s="23" t="s">
        <v>29</v>
      </c>
      <c r="J24" s="22">
        <f>H24*F24*D24</f>
        <v>-240000</v>
      </c>
      <c r="K24" s="28">
        <f t="shared" si="0"/>
        <v>238643478.73999998</v>
      </c>
      <c r="L24" s="17"/>
      <c r="M24" s="5"/>
      <c r="N24" s="5"/>
      <c r="O24" s="5"/>
      <c r="P24" s="5"/>
      <c r="Q24" s="5"/>
      <c r="R24" s="5"/>
    </row>
    <row r="25" spans="1:33" ht="19.5" customHeight="1">
      <c r="A25" s="76"/>
      <c r="B25" s="128"/>
      <c r="C25" s="73" t="s">
        <v>84</v>
      </c>
      <c r="D25" s="19"/>
      <c r="E25" s="19"/>
      <c r="F25" s="20"/>
      <c r="G25" s="21"/>
      <c r="H25" s="22"/>
      <c r="I25" s="23"/>
      <c r="J25" s="22">
        <v>210000</v>
      </c>
      <c r="K25" s="28">
        <f t="shared" si="0"/>
        <v>238853478.73999998</v>
      </c>
      <c r="L25" s="17"/>
      <c r="M25" s="5"/>
      <c r="N25" s="5"/>
      <c r="O25" s="5"/>
      <c r="P25" s="5"/>
      <c r="Q25" s="5"/>
      <c r="R25" s="5"/>
    </row>
    <row r="26" spans="1:33" ht="19.5" customHeight="1">
      <c r="A26" s="76"/>
      <c r="B26" s="128"/>
      <c r="C26" s="73" t="s">
        <v>85</v>
      </c>
      <c r="D26" s="19"/>
      <c r="E26" s="19"/>
      <c r="F26" s="20"/>
      <c r="G26" s="21"/>
      <c r="H26" s="22"/>
      <c r="I26" s="23"/>
      <c r="J26" s="22">
        <v>960000</v>
      </c>
      <c r="K26" s="28">
        <f t="shared" si="0"/>
        <v>239813478.73999998</v>
      </c>
      <c r="L26" s="17"/>
      <c r="M26" s="5"/>
      <c r="N26" s="5"/>
      <c r="O26" s="5"/>
      <c r="P26" s="5"/>
      <c r="Q26" s="5"/>
      <c r="R26" s="5"/>
    </row>
    <row r="27" spans="1:33" ht="19.5" customHeight="1">
      <c r="A27" s="78"/>
      <c r="B27" s="79">
        <v>45822</v>
      </c>
      <c r="C27" s="80" t="s">
        <v>89</v>
      </c>
      <c r="D27" s="54"/>
      <c r="E27" s="54"/>
      <c r="F27" s="55"/>
      <c r="G27" s="56"/>
      <c r="H27" s="57"/>
      <c r="I27" s="58"/>
      <c r="J27" s="57">
        <v>-39813479</v>
      </c>
      <c r="K27" s="28">
        <f t="shared" si="0"/>
        <v>199999999.73999998</v>
      </c>
      <c r="L27" s="17"/>
      <c r="M27" s="5"/>
      <c r="N27" s="5"/>
      <c r="O27" s="5"/>
      <c r="P27" s="5"/>
      <c r="Q27" s="5"/>
      <c r="R27" s="5"/>
    </row>
    <row r="28" spans="1:33" ht="18">
      <c r="A28" s="76"/>
      <c r="B28" s="112" t="s">
        <v>27</v>
      </c>
      <c r="C28" s="112"/>
      <c r="D28" s="112"/>
      <c r="E28" s="112"/>
      <c r="F28" s="112"/>
      <c r="G28" s="112"/>
      <c r="H28" s="112"/>
      <c r="I28" s="112"/>
      <c r="J28" s="30">
        <f>SUM(J14:J27)</f>
        <v>199999999.73999998</v>
      </c>
      <c r="K28" s="28"/>
      <c r="L28" s="12"/>
      <c r="M28" s="5"/>
      <c r="N28" s="5"/>
      <c r="O28" s="5"/>
      <c r="P28" s="5"/>
      <c r="Q28" s="5"/>
      <c r="R28" s="5"/>
    </row>
    <row r="29" spans="1:33">
      <c r="A29" s="7"/>
      <c r="B29" s="2"/>
      <c r="C29" s="2"/>
      <c r="D29" s="2"/>
      <c r="E29" s="2"/>
      <c r="F29" s="31"/>
      <c r="G29" s="113"/>
      <c r="H29" s="113"/>
      <c r="I29" s="32"/>
      <c r="J29" s="33"/>
      <c r="K29" s="34"/>
      <c r="L29" s="1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6.5">
      <c r="A30" s="7"/>
      <c r="B30" s="114" t="s">
        <v>18</v>
      </c>
      <c r="C30" s="115"/>
      <c r="D30" s="115"/>
      <c r="E30" s="116"/>
      <c r="F30" s="76"/>
      <c r="G30" s="35"/>
      <c r="H30" s="36" t="s">
        <v>34</v>
      </c>
      <c r="I30" s="36"/>
      <c r="J30" s="36"/>
      <c r="K30" s="36"/>
      <c r="L30" s="3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6.5">
      <c r="A31" s="7"/>
      <c r="B31" s="117" t="s">
        <v>19</v>
      </c>
      <c r="C31" s="118"/>
      <c r="D31" s="118"/>
      <c r="E31" s="119"/>
      <c r="F31" s="76"/>
      <c r="G31" s="35"/>
      <c r="H31" s="38"/>
      <c r="I31" s="36" t="s">
        <v>20</v>
      </c>
      <c r="J31" s="36"/>
      <c r="K31" s="36"/>
      <c r="L31" s="3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26.25">
      <c r="A32" s="7"/>
      <c r="B32" s="39" t="s">
        <v>21</v>
      </c>
      <c r="C32" s="7"/>
      <c r="D32" s="7"/>
      <c r="E32" s="7"/>
      <c r="F32" s="40" t="s">
        <v>22</v>
      </c>
      <c r="G32" s="41"/>
      <c r="H32" s="42"/>
      <c r="I32" s="43"/>
      <c r="J32" s="43"/>
      <c r="K32" s="34"/>
      <c r="L32" s="37"/>
      <c r="M32" s="5"/>
      <c r="N32" s="5"/>
      <c r="O32" s="5"/>
      <c r="P32" s="5"/>
      <c r="Q32" s="5"/>
      <c r="R32" s="5"/>
      <c r="S32" s="5">
        <v>2409000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6.5">
      <c r="A33" s="7"/>
      <c r="B33" s="44" t="s">
        <v>23</v>
      </c>
      <c r="C33" s="7"/>
      <c r="D33" s="5"/>
      <c r="E33" s="5"/>
      <c r="F33" s="45"/>
      <c r="G33" s="46"/>
      <c r="H33" s="46"/>
      <c r="I33" s="46"/>
      <c r="J33" s="46"/>
      <c r="K33" s="34"/>
      <c r="L33" s="3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6.5">
      <c r="A34" s="7"/>
      <c r="B34" s="39" t="s">
        <v>24</v>
      </c>
      <c r="C34" s="76"/>
      <c r="D34" s="120"/>
      <c r="E34" s="120"/>
      <c r="F34" s="120"/>
      <c r="G34" s="120"/>
      <c r="H34" s="120"/>
      <c r="I34" s="120"/>
      <c r="J34" s="120"/>
      <c r="K34" s="4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20.25">
      <c r="A35" s="7"/>
      <c r="B35" s="44" t="s">
        <v>25</v>
      </c>
      <c r="C35" s="76"/>
      <c r="D35" s="120"/>
      <c r="E35" s="120"/>
      <c r="F35" s="120"/>
      <c r="G35" s="120"/>
      <c r="H35" s="120"/>
      <c r="I35" s="120"/>
      <c r="J35" s="120"/>
      <c r="K35" s="48"/>
      <c r="L35" s="4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5.75" customHeight="1">
      <c r="A36" s="5"/>
      <c r="B36" s="5"/>
      <c r="C36" s="121" t="s">
        <v>26</v>
      </c>
      <c r="D36" s="120"/>
      <c r="E36" s="120"/>
      <c r="F36" s="120"/>
      <c r="G36" s="120"/>
      <c r="H36" s="120"/>
      <c r="I36" s="120"/>
      <c r="J36" s="4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75" customHeight="1">
      <c r="A37" s="5"/>
      <c r="B37" s="5"/>
      <c r="C37" s="122"/>
      <c r="D37" s="123"/>
      <c r="E37" s="123"/>
      <c r="F37" s="123"/>
      <c r="G37" s="123"/>
      <c r="H37" s="123"/>
      <c r="I37" s="12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5.75" customHeight="1"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5.75" customHeight="1"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</sheetData>
  <mergeCells count="27">
    <mergeCell ref="B8:C8"/>
    <mergeCell ref="D8:E8"/>
    <mergeCell ref="G8:H8"/>
    <mergeCell ref="D2:J2"/>
    <mergeCell ref="D3:J3"/>
    <mergeCell ref="D4:J4"/>
    <mergeCell ref="D5:J5"/>
    <mergeCell ref="B7:J7"/>
    <mergeCell ref="C11:F11"/>
    <mergeCell ref="G11:H11"/>
    <mergeCell ref="I11:J11"/>
    <mergeCell ref="B14:I14"/>
    <mergeCell ref="C9:F9"/>
    <mergeCell ref="G9:H9"/>
    <mergeCell ref="I9:J9"/>
    <mergeCell ref="C10:F10"/>
    <mergeCell ref="G10:H10"/>
    <mergeCell ref="I10:J10"/>
    <mergeCell ref="C36:I37"/>
    <mergeCell ref="B23:B26"/>
    <mergeCell ref="B15:B16"/>
    <mergeCell ref="B17:B22"/>
    <mergeCell ref="B28:I28"/>
    <mergeCell ref="G29:H29"/>
    <mergeCell ref="B30:E30"/>
    <mergeCell ref="B31:E31"/>
    <mergeCell ref="D34:J3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6AFF-8F95-4B8A-AD69-EE594AD92D6F}">
  <dimension ref="A1:AG91"/>
  <sheetViews>
    <sheetView workbookViewId="0">
      <selection activeCell="C26" sqref="C26:I27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8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</row>
    <row r="2" spans="1:18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</row>
    <row r="3" spans="1:18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</row>
    <row r="4" spans="1:18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</row>
    <row r="5" spans="1:18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</row>
    <row r="6" spans="1:18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</row>
    <row r="7" spans="1:18" ht="33.75">
      <c r="A7" s="7"/>
      <c r="B7" s="103" t="s">
        <v>92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</row>
    <row r="8" spans="1:18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</row>
    <row r="9" spans="1:18">
      <c r="A9" s="7"/>
      <c r="B9" s="11" t="s">
        <v>4</v>
      </c>
      <c r="C9" s="106" t="s">
        <v>30</v>
      </c>
      <c r="D9" s="107"/>
      <c r="E9" s="107"/>
      <c r="F9" s="108"/>
      <c r="G9" s="106" t="s">
        <v>33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</row>
    <row r="10" spans="1:18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</row>
    <row r="11" spans="1:18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</row>
    <row r="12" spans="1:18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</row>
    <row r="13" spans="1:18" ht="33.75" customHeight="1">
      <c r="A13" s="78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</row>
    <row r="14" spans="1:18" ht="24.75" customHeight="1">
      <c r="A14" s="78"/>
      <c r="B14" s="132" t="s">
        <v>54</v>
      </c>
      <c r="C14" s="133"/>
      <c r="D14" s="130"/>
      <c r="E14" s="130"/>
      <c r="F14" s="130"/>
      <c r="G14" s="130"/>
      <c r="H14" s="130"/>
      <c r="I14" s="130"/>
      <c r="J14" s="68">
        <f>'T6'!J28</f>
        <v>199999999.73999998</v>
      </c>
      <c r="K14" s="57">
        <f>J14</f>
        <v>199999999.73999998</v>
      </c>
      <c r="L14" s="17"/>
      <c r="M14" s="5"/>
      <c r="N14" s="5"/>
      <c r="O14" s="5"/>
      <c r="P14" s="5"/>
      <c r="Q14" s="5"/>
      <c r="R14" s="5"/>
    </row>
    <row r="15" spans="1:18" ht="19.5" customHeight="1">
      <c r="A15" s="78"/>
      <c r="B15" s="128">
        <v>45825</v>
      </c>
      <c r="C15" s="73" t="s">
        <v>90</v>
      </c>
      <c r="D15" s="19">
        <v>2.5</v>
      </c>
      <c r="E15" s="19">
        <v>2.4</v>
      </c>
      <c r="F15" s="20">
        <v>1</v>
      </c>
      <c r="G15" s="21">
        <f>E15*D15</f>
        <v>6</v>
      </c>
      <c r="H15" s="22">
        <v>770000</v>
      </c>
      <c r="I15" s="23" t="s">
        <v>38</v>
      </c>
      <c r="J15" s="22">
        <f>H15*G15</f>
        <v>4620000</v>
      </c>
      <c r="K15" s="57">
        <f>J15+K14</f>
        <v>204619999.73999998</v>
      </c>
      <c r="L15" s="17"/>
      <c r="M15" s="5"/>
      <c r="N15" s="5"/>
      <c r="O15" s="5"/>
      <c r="P15" s="5"/>
      <c r="Q15" s="5"/>
      <c r="R15" s="5"/>
    </row>
    <row r="16" spans="1:18" ht="19.5" customHeight="1">
      <c r="A16" s="78"/>
      <c r="B16" s="128"/>
      <c r="C16" s="73" t="s">
        <v>91</v>
      </c>
      <c r="D16" s="19"/>
      <c r="E16" s="19"/>
      <c r="F16" s="20">
        <v>1</v>
      </c>
      <c r="G16" s="21"/>
      <c r="H16" s="22">
        <v>250000</v>
      </c>
      <c r="I16" s="23" t="s">
        <v>44</v>
      </c>
      <c r="J16" s="22">
        <f>H16</f>
        <v>250000</v>
      </c>
      <c r="K16" s="57">
        <f t="shared" ref="K16:K17" si="0">J16+K15</f>
        <v>204869999.73999998</v>
      </c>
      <c r="L16" s="17"/>
      <c r="M16" s="5"/>
      <c r="N16" s="5"/>
      <c r="O16" s="5"/>
      <c r="P16" s="5"/>
      <c r="Q16" s="5"/>
      <c r="R16" s="5"/>
    </row>
    <row r="17" spans="1:33" ht="19.5" customHeight="1">
      <c r="A17" s="81"/>
      <c r="B17" s="82">
        <v>45825</v>
      </c>
      <c r="C17" s="77" t="s">
        <v>93</v>
      </c>
      <c r="D17" s="19"/>
      <c r="E17" s="19"/>
      <c r="F17" s="20"/>
      <c r="G17" s="21"/>
      <c r="H17" s="22"/>
      <c r="I17" s="23"/>
      <c r="J17" s="22">
        <v>-34870000</v>
      </c>
      <c r="K17" s="57">
        <f t="shared" si="0"/>
        <v>169999999.73999998</v>
      </c>
      <c r="L17" s="17"/>
      <c r="M17" s="5"/>
      <c r="N17" s="5"/>
      <c r="O17" s="5"/>
      <c r="P17" s="5"/>
      <c r="Q17" s="5"/>
      <c r="R17" s="5"/>
    </row>
    <row r="18" spans="1:33" ht="18">
      <c r="A18" s="78"/>
      <c r="B18" s="112" t="s">
        <v>27</v>
      </c>
      <c r="C18" s="112"/>
      <c r="D18" s="112"/>
      <c r="E18" s="112"/>
      <c r="F18" s="112"/>
      <c r="G18" s="112"/>
      <c r="H18" s="112"/>
      <c r="I18" s="112"/>
      <c r="J18" s="30">
        <f>SUM(J14:J17)</f>
        <v>169999999.73999998</v>
      </c>
      <c r="K18" s="28"/>
      <c r="L18" s="12"/>
      <c r="M18" s="5"/>
      <c r="N18" s="5"/>
      <c r="O18" s="5"/>
      <c r="P18" s="5"/>
      <c r="Q18" s="5"/>
      <c r="R18" s="5"/>
    </row>
    <row r="19" spans="1:33">
      <c r="A19" s="7"/>
      <c r="B19" s="2"/>
      <c r="C19" s="2"/>
      <c r="D19" s="2"/>
      <c r="E19" s="2"/>
      <c r="F19" s="31"/>
      <c r="G19" s="113"/>
      <c r="H19" s="113"/>
      <c r="I19" s="32"/>
      <c r="J19" s="33"/>
      <c r="K19" s="34"/>
      <c r="L19" s="1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6.5">
      <c r="A20" s="7"/>
      <c r="B20" s="114" t="s">
        <v>18</v>
      </c>
      <c r="C20" s="115"/>
      <c r="D20" s="115"/>
      <c r="E20" s="116"/>
      <c r="F20" s="78"/>
      <c r="G20" s="35"/>
      <c r="H20" s="36" t="s">
        <v>34</v>
      </c>
      <c r="I20" s="36"/>
      <c r="J20" s="36"/>
      <c r="K20" s="36"/>
      <c r="L20" s="3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6.5">
      <c r="A21" s="7"/>
      <c r="B21" s="117" t="s">
        <v>19</v>
      </c>
      <c r="C21" s="118"/>
      <c r="D21" s="118"/>
      <c r="E21" s="119"/>
      <c r="F21" s="78"/>
      <c r="G21" s="35"/>
      <c r="H21" s="38"/>
      <c r="I21" s="36" t="s">
        <v>20</v>
      </c>
      <c r="J21" s="36"/>
      <c r="K21" s="36"/>
      <c r="L21" s="3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26.25">
      <c r="A22" s="7"/>
      <c r="B22" s="39" t="s">
        <v>21</v>
      </c>
      <c r="C22" s="7"/>
      <c r="D22" s="7"/>
      <c r="E22" s="7"/>
      <c r="F22" s="40" t="s">
        <v>22</v>
      </c>
      <c r="G22" s="41"/>
      <c r="H22" s="42"/>
      <c r="I22" s="43"/>
      <c r="J22" s="43"/>
      <c r="K22" s="34"/>
      <c r="L22" s="37"/>
      <c r="M22" s="5"/>
      <c r="N22" s="5"/>
      <c r="O22" s="5"/>
      <c r="P22" s="5"/>
      <c r="Q22" s="5"/>
      <c r="R22" s="5"/>
      <c r="S22" s="5">
        <v>2409000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6.5">
      <c r="A23" s="7"/>
      <c r="B23" s="44" t="s">
        <v>23</v>
      </c>
      <c r="C23" s="7"/>
      <c r="D23" s="5"/>
      <c r="E23" s="5"/>
      <c r="F23" s="45"/>
      <c r="G23" s="46"/>
      <c r="H23" s="46"/>
      <c r="I23" s="46"/>
      <c r="J23" s="46"/>
      <c r="K23" s="34"/>
      <c r="L23" s="3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6.5">
      <c r="A24" s="7"/>
      <c r="B24" s="39" t="s">
        <v>24</v>
      </c>
      <c r="C24" s="78"/>
      <c r="D24" s="120"/>
      <c r="E24" s="120"/>
      <c r="F24" s="120"/>
      <c r="G24" s="120"/>
      <c r="H24" s="120"/>
      <c r="I24" s="120"/>
      <c r="J24" s="120"/>
      <c r="K24" s="4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20.25">
      <c r="A25" s="7"/>
      <c r="B25" s="44" t="s">
        <v>25</v>
      </c>
      <c r="C25" s="78"/>
      <c r="D25" s="120"/>
      <c r="E25" s="120"/>
      <c r="F25" s="120"/>
      <c r="G25" s="120"/>
      <c r="H25" s="120"/>
      <c r="I25" s="120"/>
      <c r="J25" s="120"/>
      <c r="K25" s="48"/>
      <c r="L25" s="4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75" customHeight="1">
      <c r="A26" s="5"/>
      <c r="B26" s="5"/>
      <c r="C26" s="121" t="s">
        <v>26</v>
      </c>
      <c r="D26" s="120"/>
      <c r="E26" s="120"/>
      <c r="F26" s="120"/>
      <c r="G26" s="120"/>
      <c r="H26" s="120"/>
      <c r="I26" s="120"/>
      <c r="J26" s="4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75" customHeight="1">
      <c r="A27" s="5"/>
      <c r="B27" s="5"/>
      <c r="C27" s="122"/>
      <c r="D27" s="123"/>
      <c r="E27" s="123"/>
      <c r="F27" s="123"/>
      <c r="G27" s="123"/>
      <c r="H27" s="123"/>
      <c r="I27" s="12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</sheetData>
  <mergeCells count="25">
    <mergeCell ref="C26:I27"/>
    <mergeCell ref="B15:B16"/>
    <mergeCell ref="B18:I18"/>
    <mergeCell ref="G19:H19"/>
    <mergeCell ref="B20:E20"/>
    <mergeCell ref="B21:E21"/>
    <mergeCell ref="D24:J25"/>
    <mergeCell ref="C11:F11"/>
    <mergeCell ref="G11:H11"/>
    <mergeCell ref="I11:J11"/>
    <mergeCell ref="B14:I14"/>
    <mergeCell ref="C9:F9"/>
    <mergeCell ref="G9:H9"/>
    <mergeCell ref="I9:J9"/>
    <mergeCell ref="C10:F10"/>
    <mergeCell ref="G10:H10"/>
    <mergeCell ref="I10:J10"/>
    <mergeCell ref="B8:C8"/>
    <mergeCell ref="D8:E8"/>
    <mergeCell ref="G8:H8"/>
    <mergeCell ref="D2:J2"/>
    <mergeCell ref="D3:J3"/>
    <mergeCell ref="D4:J4"/>
    <mergeCell ref="D5:J5"/>
    <mergeCell ref="B7:J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32E5-6CF4-406E-966F-5A2BB69EFF79}">
  <dimension ref="A1:AG102"/>
  <sheetViews>
    <sheetView topLeftCell="A7" workbookViewId="0">
      <selection activeCell="E27" sqref="E27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8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</row>
    <row r="2" spans="1:18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</row>
    <row r="3" spans="1:18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</row>
    <row r="4" spans="1:18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</row>
    <row r="5" spans="1:18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</row>
    <row r="6" spans="1:18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</row>
    <row r="7" spans="1:18" ht="33.75">
      <c r="A7" s="7"/>
      <c r="B7" s="103" t="s">
        <v>92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</row>
    <row r="8" spans="1:18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</row>
    <row r="9" spans="1:18">
      <c r="A9" s="7"/>
      <c r="B9" s="11" t="s">
        <v>4</v>
      </c>
      <c r="C9" s="106" t="s">
        <v>30</v>
      </c>
      <c r="D9" s="107"/>
      <c r="E9" s="107"/>
      <c r="F9" s="108"/>
      <c r="G9" s="106" t="s">
        <v>100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</row>
    <row r="10" spans="1:18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</row>
    <row r="11" spans="1:18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</row>
    <row r="12" spans="1:18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</row>
    <row r="13" spans="1:18" ht="33.75" customHeight="1">
      <c r="A13" s="81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</row>
    <row r="14" spans="1:18" ht="24.75" customHeight="1">
      <c r="A14" s="81"/>
      <c r="B14" s="132" t="s">
        <v>54</v>
      </c>
      <c r="C14" s="133"/>
      <c r="D14" s="130"/>
      <c r="E14" s="130"/>
      <c r="F14" s="130"/>
      <c r="G14" s="130"/>
      <c r="H14" s="130"/>
      <c r="I14" s="130"/>
      <c r="J14" s="68">
        <f>'T6.2'!J18</f>
        <v>169999999.73999998</v>
      </c>
      <c r="K14" s="57">
        <f>J14</f>
        <v>169999999.73999998</v>
      </c>
      <c r="L14" s="17"/>
      <c r="M14" s="5"/>
      <c r="N14" s="5"/>
      <c r="O14" s="5"/>
      <c r="P14" s="5"/>
      <c r="Q14" s="5"/>
      <c r="R14" s="5"/>
    </row>
    <row r="15" spans="1:18" ht="19.5" customHeight="1">
      <c r="A15" s="81"/>
      <c r="B15" s="128">
        <v>45825</v>
      </c>
      <c r="C15" s="73" t="s">
        <v>94</v>
      </c>
      <c r="D15" s="19">
        <v>2.4</v>
      </c>
      <c r="E15" s="19"/>
      <c r="F15" s="20">
        <v>2</v>
      </c>
      <c r="G15" s="21"/>
      <c r="H15" s="22">
        <v>120000</v>
      </c>
      <c r="I15" s="23" t="s">
        <v>29</v>
      </c>
      <c r="J15" s="22">
        <f>H15*F15*D15</f>
        <v>576000</v>
      </c>
      <c r="K15" s="22">
        <f>J15+K14</f>
        <v>170575999.73999998</v>
      </c>
      <c r="L15" s="17"/>
      <c r="M15" s="5"/>
      <c r="N15" s="5"/>
      <c r="O15" s="5"/>
      <c r="P15" s="5"/>
      <c r="Q15" s="5"/>
      <c r="R15" s="5"/>
    </row>
    <row r="16" spans="1:18" ht="19.5" customHeight="1">
      <c r="A16" s="81"/>
      <c r="B16" s="128"/>
      <c r="C16" s="73" t="s">
        <v>95</v>
      </c>
      <c r="D16" s="19"/>
      <c r="E16" s="19"/>
      <c r="F16" s="20">
        <v>10</v>
      </c>
      <c r="G16" s="21"/>
      <c r="H16" s="22">
        <v>65000</v>
      </c>
      <c r="I16" s="23" t="s">
        <v>96</v>
      </c>
      <c r="J16" s="22">
        <f>H16*F16</f>
        <v>650000</v>
      </c>
      <c r="K16" s="22">
        <f t="shared" ref="K16:K28" si="0">J16+K15</f>
        <v>171225999.73999998</v>
      </c>
      <c r="L16" s="17"/>
      <c r="M16" s="5"/>
      <c r="N16" s="5"/>
      <c r="O16" s="5"/>
      <c r="P16" s="5"/>
      <c r="Q16" s="5"/>
      <c r="R16" s="5"/>
    </row>
    <row r="17" spans="1:33" ht="19.5" customHeight="1">
      <c r="A17" s="81"/>
      <c r="B17" s="124">
        <v>45847</v>
      </c>
      <c r="C17" s="73" t="s">
        <v>97</v>
      </c>
      <c r="D17" s="19">
        <v>3.33</v>
      </c>
      <c r="E17" s="19">
        <v>2.79</v>
      </c>
      <c r="F17" s="20">
        <v>1</v>
      </c>
      <c r="G17" s="21">
        <f>E17*D17</f>
        <v>9.2907000000000011</v>
      </c>
      <c r="H17" s="22">
        <v>987000</v>
      </c>
      <c r="I17" s="23" t="s">
        <v>38</v>
      </c>
      <c r="J17" s="22">
        <f>H17*G17</f>
        <v>9169920.9000000004</v>
      </c>
      <c r="K17" s="22">
        <f t="shared" si="0"/>
        <v>180395920.63999999</v>
      </c>
      <c r="L17" s="17"/>
      <c r="M17" s="5"/>
      <c r="N17" s="5"/>
      <c r="O17" s="5"/>
      <c r="P17" s="5"/>
      <c r="Q17" s="5"/>
      <c r="R17" s="5"/>
    </row>
    <row r="18" spans="1:33" ht="19.5" customHeight="1">
      <c r="A18" s="81"/>
      <c r="B18" s="125"/>
      <c r="C18" s="75" t="s">
        <v>39</v>
      </c>
      <c r="D18" s="54"/>
      <c r="E18" s="54"/>
      <c r="F18" s="55">
        <v>1</v>
      </c>
      <c r="G18" s="56">
        <f>G17</f>
        <v>9.2907000000000011</v>
      </c>
      <c r="H18" s="57">
        <f>H17*-15%</f>
        <v>-148050</v>
      </c>
      <c r="I18" s="58" t="s">
        <v>38</v>
      </c>
      <c r="J18" s="57">
        <f>H18*G18</f>
        <v>-1375488.1350000002</v>
      </c>
      <c r="K18" s="22">
        <f t="shared" si="0"/>
        <v>179020432.505</v>
      </c>
      <c r="L18" s="17"/>
      <c r="M18" s="5"/>
      <c r="N18" s="5"/>
      <c r="O18" s="5"/>
      <c r="P18" s="5"/>
      <c r="Q18" s="5"/>
      <c r="R18" s="5"/>
    </row>
    <row r="19" spans="1:33" ht="19.5" customHeight="1">
      <c r="A19" s="81"/>
      <c r="B19" s="125"/>
      <c r="C19" s="73" t="s">
        <v>43</v>
      </c>
      <c r="D19" s="19"/>
      <c r="E19" s="19"/>
      <c r="F19" s="20">
        <v>1</v>
      </c>
      <c r="G19" s="21"/>
      <c r="H19" s="22">
        <v>80000</v>
      </c>
      <c r="I19" s="23" t="s">
        <v>44</v>
      </c>
      <c r="J19" s="22">
        <f>H19</f>
        <v>80000</v>
      </c>
      <c r="K19" s="22">
        <f t="shared" si="0"/>
        <v>179100432.505</v>
      </c>
      <c r="L19" s="17"/>
      <c r="M19" s="5"/>
      <c r="N19" s="5"/>
      <c r="O19" s="5"/>
      <c r="P19" s="5"/>
      <c r="Q19" s="5"/>
      <c r="R19" s="5"/>
    </row>
    <row r="20" spans="1:33" ht="19.5" customHeight="1">
      <c r="A20" s="81"/>
      <c r="B20" s="125"/>
      <c r="C20" s="73" t="s">
        <v>40</v>
      </c>
      <c r="D20" s="19">
        <v>2.4</v>
      </c>
      <c r="E20" s="19"/>
      <c r="F20" s="20">
        <v>2</v>
      </c>
      <c r="G20" s="21"/>
      <c r="H20" s="22">
        <v>140000</v>
      </c>
      <c r="I20" s="23" t="s">
        <v>29</v>
      </c>
      <c r="J20" s="22">
        <f>H20*F20*D20</f>
        <v>672000</v>
      </c>
      <c r="K20" s="22">
        <f t="shared" si="0"/>
        <v>179772432.505</v>
      </c>
      <c r="L20" s="17"/>
      <c r="M20" s="5"/>
      <c r="N20" s="5"/>
      <c r="O20" s="5"/>
      <c r="P20" s="5"/>
      <c r="Q20" s="5"/>
      <c r="R20" s="5"/>
    </row>
    <row r="21" spans="1:33" ht="19.5" customHeight="1">
      <c r="A21" s="81"/>
      <c r="B21" s="131"/>
      <c r="C21" s="73" t="s">
        <v>98</v>
      </c>
      <c r="D21" s="19"/>
      <c r="E21" s="19"/>
      <c r="F21" s="20">
        <v>4</v>
      </c>
      <c r="G21" s="21"/>
      <c r="H21" s="22">
        <v>24000</v>
      </c>
      <c r="I21" s="23" t="s">
        <v>42</v>
      </c>
      <c r="J21" s="22">
        <f>H21*F21</f>
        <v>96000</v>
      </c>
      <c r="K21" s="22">
        <f t="shared" si="0"/>
        <v>179868432.505</v>
      </c>
      <c r="L21" s="17"/>
      <c r="M21" s="5"/>
      <c r="N21" s="5"/>
      <c r="O21" s="5"/>
      <c r="P21" s="5"/>
      <c r="Q21" s="5"/>
      <c r="R21" s="5"/>
    </row>
    <row r="22" spans="1:33" ht="19.5" customHeight="1">
      <c r="A22" s="81"/>
      <c r="B22" s="124">
        <v>45848</v>
      </c>
      <c r="C22" s="73" t="s">
        <v>99</v>
      </c>
      <c r="D22" s="19">
        <v>2.4</v>
      </c>
      <c r="E22" s="19">
        <v>2.54</v>
      </c>
      <c r="F22" s="20">
        <v>1</v>
      </c>
      <c r="G22" s="21">
        <f>E22*D22</f>
        <v>6.0960000000000001</v>
      </c>
      <c r="H22" s="22">
        <v>1090000</v>
      </c>
      <c r="I22" s="23" t="s">
        <v>38</v>
      </c>
      <c r="J22" s="22">
        <f>H22*G22</f>
        <v>6644640</v>
      </c>
      <c r="K22" s="22">
        <f t="shared" si="0"/>
        <v>186513072.505</v>
      </c>
      <c r="L22" s="17"/>
      <c r="M22" s="5"/>
      <c r="N22" s="5"/>
      <c r="O22" s="5"/>
      <c r="P22" s="5"/>
      <c r="Q22" s="5"/>
      <c r="R22" s="5"/>
    </row>
    <row r="23" spans="1:33" ht="19.5" customHeight="1">
      <c r="A23" s="81"/>
      <c r="B23" s="125"/>
      <c r="C23" s="73" t="s">
        <v>39</v>
      </c>
      <c r="D23" s="54"/>
      <c r="E23" s="54"/>
      <c r="F23" s="55">
        <v>1</v>
      </c>
      <c r="G23" s="56">
        <f>G22</f>
        <v>6.0960000000000001</v>
      </c>
      <c r="H23" s="57">
        <f>H22*-15%</f>
        <v>-163500</v>
      </c>
      <c r="I23" s="58" t="s">
        <v>38</v>
      </c>
      <c r="J23" s="57">
        <f>H23*G23</f>
        <v>-996696</v>
      </c>
      <c r="K23" s="22">
        <f t="shared" si="0"/>
        <v>185516376.505</v>
      </c>
      <c r="L23" s="17"/>
      <c r="M23" s="5"/>
      <c r="N23" s="5"/>
      <c r="O23" s="5"/>
      <c r="P23" s="5"/>
      <c r="Q23" s="5"/>
      <c r="R23" s="5"/>
    </row>
    <row r="24" spans="1:33" ht="19.5" customHeight="1">
      <c r="A24" s="81"/>
      <c r="B24" s="125"/>
      <c r="C24" s="73" t="s">
        <v>43</v>
      </c>
      <c r="D24" s="19"/>
      <c r="E24" s="19"/>
      <c r="F24" s="20">
        <v>1</v>
      </c>
      <c r="G24" s="21"/>
      <c r="H24" s="22">
        <v>80000</v>
      </c>
      <c r="I24" s="23" t="s">
        <v>44</v>
      </c>
      <c r="J24" s="22">
        <f>H24</f>
        <v>80000</v>
      </c>
      <c r="K24" s="22">
        <f t="shared" si="0"/>
        <v>185596376.505</v>
      </c>
      <c r="L24" s="17"/>
      <c r="M24" s="5"/>
      <c r="N24" s="5"/>
      <c r="O24" s="5"/>
      <c r="P24" s="5"/>
      <c r="Q24" s="5"/>
      <c r="R24" s="5"/>
    </row>
    <row r="25" spans="1:33" ht="19.5" customHeight="1">
      <c r="A25" s="81"/>
      <c r="B25" s="125"/>
      <c r="C25" s="73" t="s">
        <v>40</v>
      </c>
      <c r="D25" s="19">
        <v>2.2999999999999998</v>
      </c>
      <c r="E25" s="19"/>
      <c r="F25" s="20">
        <v>2</v>
      </c>
      <c r="G25" s="21"/>
      <c r="H25" s="22">
        <v>140000</v>
      </c>
      <c r="I25" s="23" t="s">
        <v>29</v>
      </c>
      <c r="J25" s="22">
        <f>H25*F25*D25</f>
        <v>644000</v>
      </c>
      <c r="K25" s="22">
        <f t="shared" si="0"/>
        <v>186240376.505</v>
      </c>
      <c r="L25" s="17"/>
      <c r="M25" s="5"/>
      <c r="N25" s="5"/>
      <c r="O25" s="5"/>
      <c r="P25" s="5"/>
      <c r="Q25" s="5"/>
      <c r="R25" s="5"/>
    </row>
    <row r="26" spans="1:33" ht="19.5" customHeight="1">
      <c r="A26" s="81"/>
      <c r="B26" s="125"/>
      <c r="C26" s="73" t="s">
        <v>78</v>
      </c>
      <c r="D26" s="19"/>
      <c r="E26" s="19"/>
      <c r="F26" s="20">
        <v>4</v>
      </c>
      <c r="G26" s="21"/>
      <c r="H26" s="22">
        <v>19000</v>
      </c>
      <c r="I26" s="23" t="s">
        <v>42</v>
      </c>
      <c r="J26" s="22">
        <f>H26*F26</f>
        <v>76000</v>
      </c>
      <c r="K26" s="22">
        <f t="shared" si="0"/>
        <v>186316376.505</v>
      </c>
      <c r="L26" s="17"/>
      <c r="M26" s="5"/>
      <c r="N26" s="5"/>
      <c r="O26" s="5"/>
      <c r="P26" s="5"/>
      <c r="Q26" s="5"/>
      <c r="R26" s="5"/>
    </row>
    <row r="27" spans="1:33" ht="19.5" customHeight="1">
      <c r="A27" s="81"/>
      <c r="B27" s="131"/>
      <c r="C27" s="73" t="s">
        <v>46</v>
      </c>
      <c r="D27" s="19"/>
      <c r="E27" s="19"/>
      <c r="F27" s="20">
        <v>1</v>
      </c>
      <c r="G27" s="21"/>
      <c r="H27" s="22">
        <v>90000</v>
      </c>
      <c r="I27" s="23" t="s">
        <v>47</v>
      </c>
      <c r="J27" s="22">
        <f>H27</f>
        <v>90000</v>
      </c>
      <c r="K27" s="22">
        <f t="shared" si="0"/>
        <v>186406376.505</v>
      </c>
      <c r="L27" s="17"/>
      <c r="M27" s="5"/>
      <c r="N27" s="5"/>
      <c r="O27" s="5"/>
      <c r="P27" s="5"/>
      <c r="Q27" s="5"/>
      <c r="R27" s="5"/>
    </row>
    <row r="28" spans="1:33" ht="19.5" customHeight="1">
      <c r="A28" s="83"/>
      <c r="B28" s="85">
        <v>45868</v>
      </c>
      <c r="C28" s="80" t="s">
        <v>89</v>
      </c>
      <c r="D28" s="54"/>
      <c r="E28" s="54"/>
      <c r="F28" s="55"/>
      <c r="G28" s="56"/>
      <c r="H28" s="57"/>
      <c r="I28" s="58"/>
      <c r="J28" s="57">
        <v>-50000000</v>
      </c>
      <c r="K28" s="22">
        <f t="shared" si="0"/>
        <v>136406376.505</v>
      </c>
      <c r="L28" s="17"/>
      <c r="M28" s="5"/>
      <c r="N28" s="5"/>
      <c r="O28" s="5"/>
      <c r="P28" s="5"/>
      <c r="Q28" s="5"/>
      <c r="R28" s="5"/>
    </row>
    <row r="29" spans="1:33" ht="18">
      <c r="A29" s="81"/>
      <c r="B29" s="112" t="s">
        <v>27</v>
      </c>
      <c r="C29" s="112"/>
      <c r="D29" s="112"/>
      <c r="E29" s="112"/>
      <c r="F29" s="112"/>
      <c r="G29" s="112"/>
      <c r="H29" s="112"/>
      <c r="I29" s="112"/>
      <c r="J29" s="30">
        <f>SUM(J14:J28)</f>
        <v>136406376.505</v>
      </c>
      <c r="K29" s="28"/>
      <c r="L29" s="12"/>
      <c r="M29" s="5"/>
      <c r="N29" s="5"/>
      <c r="O29" s="5"/>
      <c r="P29" s="5"/>
      <c r="Q29" s="5"/>
      <c r="R29" s="5"/>
    </row>
    <row r="30" spans="1:33">
      <c r="A30" s="7"/>
      <c r="B30" s="2"/>
      <c r="C30" s="2"/>
      <c r="D30" s="2"/>
      <c r="E30" s="2"/>
      <c r="F30" s="31"/>
      <c r="G30" s="113"/>
      <c r="H30" s="113"/>
      <c r="I30" s="32"/>
      <c r="J30" s="33"/>
      <c r="K30" s="34"/>
      <c r="L30" s="1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6.5">
      <c r="A31" s="7"/>
      <c r="B31" s="114" t="s">
        <v>18</v>
      </c>
      <c r="C31" s="115"/>
      <c r="D31" s="115"/>
      <c r="E31" s="116"/>
      <c r="F31" s="81"/>
      <c r="G31" s="35"/>
      <c r="H31" s="36" t="s">
        <v>101</v>
      </c>
      <c r="I31" s="36"/>
      <c r="J31" s="36"/>
      <c r="K31" s="36"/>
      <c r="L31" s="3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6.5">
      <c r="A32" s="7"/>
      <c r="B32" s="117" t="s">
        <v>19</v>
      </c>
      <c r="C32" s="118"/>
      <c r="D32" s="118"/>
      <c r="E32" s="119"/>
      <c r="F32" s="81"/>
      <c r="G32" s="35"/>
      <c r="H32" s="38"/>
      <c r="I32" s="36" t="s">
        <v>20</v>
      </c>
      <c r="J32" s="36"/>
      <c r="K32" s="36"/>
      <c r="L32" s="3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26.25">
      <c r="A33" s="7"/>
      <c r="B33" s="39" t="s">
        <v>21</v>
      </c>
      <c r="C33" s="7"/>
      <c r="D33" s="7"/>
      <c r="E33" s="7"/>
      <c r="F33" s="40" t="s">
        <v>22</v>
      </c>
      <c r="G33" s="41"/>
      <c r="H33" s="42"/>
      <c r="I33" s="43"/>
      <c r="J33" s="43"/>
      <c r="K33" s="34"/>
      <c r="L33" s="37"/>
      <c r="M33" s="5"/>
      <c r="N33" s="5"/>
      <c r="O33" s="5"/>
      <c r="P33" s="5"/>
      <c r="Q33" s="5"/>
      <c r="R33" s="5"/>
      <c r="S33" s="5">
        <v>2409000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6.5">
      <c r="A34" s="7"/>
      <c r="B34" s="44" t="s">
        <v>23</v>
      </c>
      <c r="C34" s="7"/>
      <c r="D34" s="5"/>
      <c r="E34" s="5"/>
      <c r="F34" s="45"/>
      <c r="G34" s="46"/>
      <c r="H34" s="46"/>
      <c r="I34" s="46"/>
      <c r="J34" s="46"/>
      <c r="K34" s="34"/>
      <c r="L34" s="3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6.5">
      <c r="A35" s="7"/>
      <c r="B35" s="39" t="s">
        <v>24</v>
      </c>
      <c r="C35" s="81"/>
      <c r="D35" s="120"/>
      <c r="E35" s="120"/>
      <c r="F35" s="120"/>
      <c r="G35" s="120"/>
      <c r="H35" s="120"/>
      <c r="I35" s="120"/>
      <c r="J35" s="120"/>
      <c r="K35" s="4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20.25">
      <c r="A36" s="7"/>
      <c r="B36" s="44" t="s">
        <v>25</v>
      </c>
      <c r="C36" s="81"/>
      <c r="D36" s="120"/>
      <c r="E36" s="120"/>
      <c r="F36" s="120"/>
      <c r="G36" s="120"/>
      <c r="H36" s="120"/>
      <c r="I36" s="120"/>
      <c r="J36" s="120"/>
      <c r="K36" s="48"/>
      <c r="L36" s="4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75" customHeight="1">
      <c r="A37" s="5"/>
      <c r="B37" s="5"/>
      <c r="C37" s="121" t="s">
        <v>26</v>
      </c>
      <c r="D37" s="120"/>
      <c r="E37" s="120"/>
      <c r="F37" s="120"/>
      <c r="G37" s="120"/>
      <c r="H37" s="120"/>
      <c r="I37" s="120"/>
      <c r="J37" s="4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75" customHeight="1">
      <c r="A38" s="5"/>
      <c r="B38" s="5"/>
      <c r="C38" s="122"/>
      <c r="D38" s="123"/>
      <c r="E38" s="123"/>
      <c r="F38" s="123"/>
      <c r="G38" s="123"/>
      <c r="H38" s="123"/>
      <c r="I38" s="12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5.75" customHeight="1"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5.75" customHeight="1"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</sheetData>
  <mergeCells count="27">
    <mergeCell ref="G30:H30"/>
    <mergeCell ref="B31:E31"/>
    <mergeCell ref="B32:E32"/>
    <mergeCell ref="D35:J36"/>
    <mergeCell ref="C37:I38"/>
    <mergeCell ref="B29:I29"/>
    <mergeCell ref="C9:F9"/>
    <mergeCell ref="G9:H9"/>
    <mergeCell ref="I9:J9"/>
    <mergeCell ref="C10:F10"/>
    <mergeCell ref="G10:H10"/>
    <mergeCell ref="I10:J10"/>
    <mergeCell ref="B17:B21"/>
    <mergeCell ref="B22:B27"/>
    <mergeCell ref="C11:F11"/>
    <mergeCell ref="G11:H11"/>
    <mergeCell ref="I11:J11"/>
    <mergeCell ref="B14:I14"/>
    <mergeCell ref="B15:B16"/>
    <mergeCell ref="B8:C8"/>
    <mergeCell ref="D8:E8"/>
    <mergeCell ref="G8:H8"/>
    <mergeCell ref="D2:J2"/>
    <mergeCell ref="D3:J3"/>
    <mergeCell ref="D4:J4"/>
    <mergeCell ref="D5:J5"/>
    <mergeCell ref="B7:J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C0C5-FB2D-4639-B89A-7730F1CC9606}">
  <dimension ref="A1:AG99"/>
  <sheetViews>
    <sheetView workbookViewId="0">
      <selection activeCell="F19" sqref="F19"/>
    </sheetView>
  </sheetViews>
  <sheetFormatPr defaultColWidth="12.5703125" defaultRowHeight="15.75" customHeight="1"/>
  <cols>
    <col min="1" max="1" width="3.85546875" style="6" customWidth="1"/>
    <col min="2" max="2" width="20.5703125" style="6" customWidth="1"/>
    <col min="3" max="3" width="40" style="6" customWidth="1"/>
    <col min="4" max="4" width="13.42578125" style="6" customWidth="1"/>
    <col min="5" max="5" width="17.85546875" style="6" customWidth="1"/>
    <col min="6" max="6" width="14.28515625" style="6" customWidth="1"/>
    <col min="7" max="7" width="15.5703125" style="6" customWidth="1"/>
    <col min="8" max="8" width="18" style="6" customWidth="1"/>
    <col min="9" max="9" width="14.85546875" style="6" customWidth="1"/>
    <col min="10" max="10" width="20.28515625" style="6" customWidth="1"/>
    <col min="11" max="11" width="17.85546875" style="6" customWidth="1"/>
    <col min="12" max="12" width="5.28515625" style="6" customWidth="1"/>
    <col min="13" max="16384" width="12.5703125" style="6"/>
  </cols>
  <sheetData>
    <row r="1" spans="1:18" ht="26.25">
      <c r="A1" s="1"/>
      <c r="B1" s="2"/>
      <c r="C1" s="2"/>
      <c r="D1" s="2"/>
      <c r="E1" s="2"/>
      <c r="F1" s="2"/>
      <c r="G1" s="3"/>
      <c r="H1" s="2"/>
      <c r="I1" s="2"/>
      <c r="J1" s="2"/>
      <c r="K1" s="4"/>
      <c r="L1" s="5"/>
      <c r="M1" s="5"/>
      <c r="N1" s="5"/>
      <c r="O1" s="5"/>
      <c r="P1" s="5"/>
      <c r="Q1" s="5"/>
      <c r="R1" s="5"/>
    </row>
    <row r="2" spans="1:18" ht="16.5">
      <c r="A2" s="1"/>
      <c r="B2" s="7"/>
      <c r="C2" s="7"/>
      <c r="D2" s="97" t="s">
        <v>0</v>
      </c>
      <c r="E2" s="98"/>
      <c r="F2" s="98"/>
      <c r="G2" s="98"/>
      <c r="H2" s="98"/>
      <c r="I2" s="98"/>
      <c r="J2" s="99"/>
      <c r="K2" s="8"/>
      <c r="L2" s="5"/>
      <c r="M2" s="5"/>
      <c r="N2" s="5"/>
      <c r="O2" s="5"/>
      <c r="P2" s="5"/>
      <c r="Q2" s="5"/>
      <c r="R2" s="5"/>
    </row>
    <row r="3" spans="1:18">
      <c r="A3" s="1"/>
      <c r="B3" s="7"/>
      <c r="C3" s="7"/>
      <c r="D3" s="100" t="s">
        <v>1</v>
      </c>
      <c r="E3" s="101"/>
      <c r="F3" s="101"/>
      <c r="G3" s="101"/>
      <c r="H3" s="101"/>
      <c r="I3" s="101"/>
      <c r="J3" s="102"/>
      <c r="K3" s="9"/>
      <c r="L3" s="5"/>
      <c r="M3" s="5"/>
      <c r="N3" s="5"/>
      <c r="O3" s="5"/>
      <c r="P3" s="5"/>
      <c r="Q3" s="5"/>
      <c r="R3" s="5"/>
    </row>
    <row r="4" spans="1:18">
      <c r="A4" s="1"/>
      <c r="B4" s="7"/>
      <c r="C4" s="7"/>
      <c r="D4" s="100" t="s">
        <v>2</v>
      </c>
      <c r="E4" s="101"/>
      <c r="F4" s="101"/>
      <c r="G4" s="101"/>
      <c r="H4" s="101"/>
      <c r="I4" s="101"/>
      <c r="J4" s="102"/>
      <c r="K4" s="9"/>
      <c r="L4" s="5"/>
      <c r="M4" s="5"/>
      <c r="N4" s="5"/>
      <c r="O4" s="5"/>
      <c r="P4" s="5"/>
      <c r="Q4" s="5"/>
      <c r="R4" s="5"/>
    </row>
    <row r="5" spans="1:18">
      <c r="A5" s="1"/>
      <c r="B5" s="7"/>
      <c r="C5" s="7"/>
      <c r="D5" s="100" t="s">
        <v>3</v>
      </c>
      <c r="E5" s="101"/>
      <c r="F5" s="101"/>
      <c r="G5" s="101"/>
      <c r="H5" s="101"/>
      <c r="I5" s="101"/>
      <c r="J5" s="102"/>
      <c r="K5" s="9"/>
      <c r="L5" s="5"/>
      <c r="M5" s="5"/>
      <c r="N5" s="5"/>
      <c r="O5" s="5"/>
      <c r="P5" s="5"/>
      <c r="Q5" s="5"/>
      <c r="R5" s="5"/>
    </row>
    <row r="6" spans="1:18">
      <c r="A6" s="1"/>
      <c r="B6" s="7"/>
      <c r="C6" s="7"/>
      <c r="D6" s="7"/>
      <c r="E6" s="7"/>
      <c r="F6" s="7"/>
      <c r="G6" s="7"/>
      <c r="H6" s="7"/>
      <c r="I6" s="7"/>
      <c r="J6" s="7"/>
      <c r="K6" s="10"/>
      <c r="L6" s="5"/>
      <c r="M6" s="5"/>
      <c r="N6" s="5"/>
      <c r="O6" s="5"/>
      <c r="P6" s="5"/>
      <c r="Q6" s="5"/>
      <c r="R6" s="5"/>
    </row>
    <row r="7" spans="1:18" ht="33.75">
      <c r="A7" s="7"/>
      <c r="B7" s="103" t="s">
        <v>92</v>
      </c>
      <c r="C7" s="104"/>
      <c r="D7" s="104"/>
      <c r="E7" s="104"/>
      <c r="F7" s="104"/>
      <c r="G7" s="104"/>
      <c r="H7" s="104"/>
      <c r="I7" s="104"/>
      <c r="J7" s="105"/>
      <c r="K7" s="50"/>
      <c r="L7" s="5"/>
      <c r="M7" s="5"/>
      <c r="N7" s="5"/>
      <c r="O7" s="5"/>
      <c r="P7" s="5"/>
      <c r="Q7" s="5"/>
      <c r="R7" s="5"/>
    </row>
    <row r="8" spans="1:18">
      <c r="A8" s="7"/>
      <c r="B8" s="95"/>
      <c r="C8" s="96"/>
      <c r="D8" s="95"/>
      <c r="E8" s="96"/>
      <c r="F8" s="7"/>
      <c r="G8" s="95"/>
      <c r="H8" s="96"/>
      <c r="I8" s="7"/>
      <c r="J8" s="7"/>
      <c r="K8" s="10"/>
      <c r="L8" s="5"/>
      <c r="M8" s="5"/>
      <c r="N8" s="5"/>
      <c r="O8" s="5"/>
      <c r="P8" s="5"/>
      <c r="Q8" s="5"/>
      <c r="R8" s="5"/>
    </row>
    <row r="9" spans="1:18">
      <c r="A9" s="7"/>
      <c r="B9" s="11" t="s">
        <v>4</v>
      </c>
      <c r="C9" s="106" t="s">
        <v>30</v>
      </c>
      <c r="D9" s="107"/>
      <c r="E9" s="107"/>
      <c r="F9" s="108"/>
      <c r="G9" s="106" t="s">
        <v>100</v>
      </c>
      <c r="H9" s="108"/>
      <c r="I9" s="106" t="s">
        <v>5</v>
      </c>
      <c r="J9" s="108"/>
      <c r="K9" s="10"/>
      <c r="L9" s="5"/>
      <c r="M9" s="5"/>
      <c r="N9" s="5"/>
      <c r="O9" s="5"/>
      <c r="P9" s="5"/>
      <c r="Q9" s="5"/>
      <c r="R9" s="5"/>
    </row>
    <row r="10" spans="1:18">
      <c r="A10" s="7"/>
      <c r="B10" s="11" t="s">
        <v>6</v>
      </c>
      <c r="C10" s="109"/>
      <c r="D10" s="110"/>
      <c r="E10" s="110"/>
      <c r="F10" s="111"/>
      <c r="G10" s="106" t="s">
        <v>32</v>
      </c>
      <c r="H10" s="108"/>
      <c r="I10" s="106" t="s">
        <v>7</v>
      </c>
      <c r="J10" s="108"/>
      <c r="K10" s="10"/>
      <c r="L10" s="5"/>
      <c r="M10" s="5"/>
      <c r="N10" s="5"/>
      <c r="O10" s="5"/>
      <c r="P10" s="5"/>
      <c r="Q10" s="5"/>
      <c r="R10" s="5"/>
    </row>
    <row r="11" spans="1:18">
      <c r="A11" s="7"/>
      <c r="B11" s="11" t="s">
        <v>8</v>
      </c>
      <c r="C11" s="109"/>
      <c r="D11" s="110"/>
      <c r="E11" s="110"/>
      <c r="F11" s="111"/>
      <c r="G11" s="106" t="s">
        <v>9</v>
      </c>
      <c r="H11" s="108"/>
      <c r="I11" s="106"/>
      <c r="J11" s="108"/>
      <c r="K11" s="10"/>
      <c r="L11" s="5"/>
      <c r="M11" s="5"/>
      <c r="N11" s="5"/>
      <c r="O11" s="5"/>
      <c r="P11" s="5"/>
      <c r="Q11" s="5"/>
      <c r="R11" s="5"/>
    </row>
    <row r="12" spans="1:18">
      <c r="A12" s="7"/>
      <c r="B12" s="5"/>
      <c r="C12" s="5"/>
      <c r="D12" s="5"/>
      <c r="E12" s="5"/>
      <c r="F12" s="5"/>
      <c r="G12" s="5"/>
      <c r="H12" s="5"/>
      <c r="I12" s="5"/>
      <c r="J12" s="5"/>
      <c r="K12" s="10"/>
      <c r="L12" s="12"/>
      <c r="M12" s="5"/>
      <c r="N12" s="5"/>
      <c r="O12" s="5"/>
      <c r="P12" s="5"/>
      <c r="Q12" s="5"/>
      <c r="R12" s="5"/>
    </row>
    <row r="13" spans="1:18" ht="33.75" customHeight="1">
      <c r="A13" s="83"/>
      <c r="B13" s="14" t="s">
        <v>10</v>
      </c>
      <c r="C13" s="15" t="s">
        <v>11</v>
      </c>
      <c r="D13" s="16" t="s">
        <v>12</v>
      </c>
      <c r="E13" s="16" t="s">
        <v>37</v>
      </c>
      <c r="F13" s="15" t="s">
        <v>13</v>
      </c>
      <c r="G13" s="15" t="s">
        <v>14</v>
      </c>
      <c r="H13" s="15" t="s">
        <v>15</v>
      </c>
      <c r="I13" s="15" t="s">
        <v>16</v>
      </c>
      <c r="J13" s="15" t="s">
        <v>17</v>
      </c>
      <c r="K13" s="15" t="s">
        <v>28</v>
      </c>
      <c r="L13" s="17"/>
      <c r="M13" s="5"/>
      <c r="N13" s="5"/>
      <c r="O13" s="5"/>
      <c r="P13" s="5"/>
      <c r="Q13" s="5"/>
      <c r="R13" s="5"/>
    </row>
    <row r="14" spans="1:18" ht="24.75" customHeight="1">
      <c r="A14" s="83"/>
      <c r="B14" s="132" t="s">
        <v>54</v>
      </c>
      <c r="C14" s="133"/>
      <c r="D14" s="130"/>
      <c r="E14" s="130"/>
      <c r="F14" s="130"/>
      <c r="G14" s="130"/>
      <c r="H14" s="130"/>
      <c r="I14" s="130"/>
      <c r="J14" s="68">
        <f>'T7'!J29</f>
        <v>136406376.505</v>
      </c>
      <c r="K14" s="57">
        <f>J14</f>
        <v>136406376.505</v>
      </c>
      <c r="L14" s="17"/>
      <c r="M14" s="5"/>
      <c r="N14" s="5"/>
      <c r="O14" s="5"/>
      <c r="P14" s="5"/>
      <c r="Q14" s="5"/>
      <c r="R14" s="5"/>
    </row>
    <row r="15" spans="1:18" ht="19.5" customHeight="1">
      <c r="A15" s="83"/>
      <c r="B15" s="84">
        <v>45857</v>
      </c>
      <c r="C15" s="73" t="s">
        <v>102</v>
      </c>
      <c r="D15" s="19"/>
      <c r="E15" s="19"/>
      <c r="F15" s="20">
        <v>100</v>
      </c>
      <c r="G15" s="21"/>
      <c r="H15" s="22">
        <v>48000</v>
      </c>
      <c r="I15" s="23" t="s">
        <v>103</v>
      </c>
      <c r="J15" s="22">
        <f>H15*F15</f>
        <v>4800000</v>
      </c>
      <c r="K15" s="22">
        <f>J15+K14</f>
        <v>141206376.505</v>
      </c>
      <c r="L15" s="17"/>
      <c r="M15" s="5"/>
      <c r="N15" s="5"/>
      <c r="O15" s="5"/>
      <c r="P15" s="5"/>
      <c r="Q15" s="5"/>
      <c r="R15" s="5"/>
    </row>
    <row r="16" spans="1:18" ht="19.5" customHeight="1">
      <c r="A16" s="83"/>
      <c r="B16" s="124">
        <v>45861</v>
      </c>
      <c r="C16" s="73" t="s">
        <v>40</v>
      </c>
      <c r="D16" s="19">
        <v>3</v>
      </c>
      <c r="E16" s="19"/>
      <c r="F16" s="20">
        <v>2</v>
      </c>
      <c r="G16" s="21"/>
      <c r="H16" s="22">
        <v>150000</v>
      </c>
      <c r="I16" s="23" t="s">
        <v>29</v>
      </c>
      <c r="J16" s="22">
        <f>H16*F16*D16</f>
        <v>900000</v>
      </c>
      <c r="K16" s="22">
        <f t="shared" ref="K16:K25" si="0">J16+K15</f>
        <v>142106376.505</v>
      </c>
      <c r="L16" s="17"/>
      <c r="M16" s="5"/>
      <c r="N16" s="5"/>
      <c r="O16" s="5"/>
      <c r="P16" s="5"/>
      <c r="Q16" s="5"/>
      <c r="R16" s="5"/>
    </row>
    <row r="17" spans="1:33" ht="19.5" customHeight="1">
      <c r="A17" s="83"/>
      <c r="B17" s="131"/>
      <c r="C17" s="73" t="s">
        <v>104</v>
      </c>
      <c r="D17" s="19"/>
      <c r="E17" s="19"/>
      <c r="F17" s="20">
        <v>1</v>
      </c>
      <c r="G17" s="21"/>
      <c r="H17" s="22">
        <v>200000</v>
      </c>
      <c r="I17" s="23" t="s">
        <v>105</v>
      </c>
      <c r="J17" s="22">
        <f>H17</f>
        <v>200000</v>
      </c>
      <c r="K17" s="22">
        <f t="shared" si="0"/>
        <v>142306376.505</v>
      </c>
      <c r="L17" s="17"/>
      <c r="M17" s="5"/>
      <c r="N17" s="5"/>
      <c r="O17" s="5"/>
      <c r="P17" s="5"/>
      <c r="Q17" s="5"/>
      <c r="R17" s="5"/>
    </row>
    <row r="18" spans="1:33" ht="19.5" customHeight="1">
      <c r="A18" s="83"/>
      <c r="B18" s="124"/>
      <c r="C18" s="73" t="s">
        <v>106</v>
      </c>
      <c r="D18" s="19">
        <v>3.2</v>
      </c>
      <c r="E18" s="19">
        <v>3.74</v>
      </c>
      <c r="F18" s="20">
        <v>1</v>
      </c>
      <c r="G18" s="21">
        <f>E18*D18</f>
        <v>11.968000000000002</v>
      </c>
      <c r="H18" s="22">
        <v>1014000</v>
      </c>
      <c r="I18" s="23" t="s">
        <v>38</v>
      </c>
      <c r="J18" s="22">
        <f>H18*G18</f>
        <v>12135552.000000002</v>
      </c>
      <c r="K18" s="22">
        <f t="shared" si="0"/>
        <v>154441928.505</v>
      </c>
      <c r="L18" s="17"/>
      <c r="M18" s="5"/>
      <c r="N18" s="5"/>
      <c r="O18" s="5"/>
      <c r="P18" s="5"/>
      <c r="Q18" s="5"/>
      <c r="R18" s="5"/>
    </row>
    <row r="19" spans="1:33" ht="19.5" customHeight="1">
      <c r="A19" s="83"/>
      <c r="B19" s="125"/>
      <c r="C19" s="73" t="s">
        <v>106</v>
      </c>
      <c r="D19" s="19">
        <v>2.8</v>
      </c>
      <c r="E19" s="19">
        <v>2.79</v>
      </c>
      <c r="F19" s="20">
        <v>1</v>
      </c>
      <c r="G19" s="21">
        <f>E19*D19</f>
        <v>7.8119999999999994</v>
      </c>
      <c r="H19" s="22">
        <v>1014000</v>
      </c>
      <c r="I19" s="23" t="s">
        <v>38</v>
      </c>
      <c r="J19" s="22">
        <f>H19*G19</f>
        <v>7921367.9999999991</v>
      </c>
      <c r="K19" s="22">
        <f t="shared" si="0"/>
        <v>162363296.505</v>
      </c>
      <c r="L19" s="17"/>
      <c r="M19" s="5"/>
      <c r="N19" s="5"/>
      <c r="O19" s="5"/>
      <c r="P19" s="5"/>
      <c r="Q19" s="5"/>
      <c r="R19" s="5"/>
    </row>
    <row r="20" spans="1:33" ht="19.5" customHeight="1">
      <c r="A20" s="83"/>
      <c r="B20" s="125"/>
      <c r="C20" s="75" t="s">
        <v>39</v>
      </c>
      <c r="D20" s="54"/>
      <c r="E20" s="54"/>
      <c r="F20" s="55">
        <v>2</v>
      </c>
      <c r="G20" s="56">
        <f>G19+G18</f>
        <v>19.78</v>
      </c>
      <c r="H20" s="57">
        <f>H19*-15%</f>
        <v>-152100</v>
      </c>
      <c r="I20" s="58" t="s">
        <v>38</v>
      </c>
      <c r="J20" s="57">
        <f>H20*G20</f>
        <v>-3008538</v>
      </c>
      <c r="K20" s="22">
        <f t="shared" si="0"/>
        <v>159354758.505</v>
      </c>
      <c r="L20" s="17"/>
      <c r="M20" s="5"/>
      <c r="N20" s="5"/>
      <c r="O20" s="5"/>
      <c r="P20" s="5"/>
      <c r="Q20" s="5"/>
      <c r="R20" s="5"/>
    </row>
    <row r="21" spans="1:33" ht="19.5" customHeight="1">
      <c r="A21" s="83"/>
      <c r="B21" s="125"/>
      <c r="C21" s="73" t="s">
        <v>43</v>
      </c>
      <c r="D21" s="19"/>
      <c r="E21" s="19"/>
      <c r="F21" s="20">
        <v>2</v>
      </c>
      <c r="G21" s="21"/>
      <c r="H21" s="22">
        <v>80000</v>
      </c>
      <c r="I21" s="23" t="s">
        <v>44</v>
      </c>
      <c r="J21" s="22">
        <f>H21*F21</f>
        <v>160000</v>
      </c>
      <c r="K21" s="22">
        <f t="shared" si="0"/>
        <v>159514758.505</v>
      </c>
      <c r="L21" s="17"/>
      <c r="M21" s="5"/>
      <c r="N21" s="5"/>
      <c r="O21" s="5"/>
      <c r="P21" s="5"/>
      <c r="Q21" s="5"/>
      <c r="R21" s="5"/>
    </row>
    <row r="22" spans="1:33" ht="19.5" customHeight="1">
      <c r="A22" s="83"/>
      <c r="B22" s="125"/>
      <c r="C22" s="73" t="s">
        <v>107</v>
      </c>
      <c r="D22" s="19">
        <v>3.1</v>
      </c>
      <c r="E22" s="19"/>
      <c r="F22" s="20">
        <v>2</v>
      </c>
      <c r="G22" s="21"/>
      <c r="H22" s="22">
        <v>150000</v>
      </c>
      <c r="I22" s="23" t="s">
        <v>29</v>
      </c>
      <c r="J22" s="22">
        <f>H22*F22*D22</f>
        <v>930000</v>
      </c>
      <c r="K22" s="22">
        <f t="shared" si="0"/>
        <v>160444758.505</v>
      </c>
      <c r="L22" s="17"/>
      <c r="M22" s="5"/>
      <c r="N22" s="5"/>
      <c r="O22" s="5"/>
      <c r="P22" s="5"/>
      <c r="Q22" s="5"/>
      <c r="R22" s="5"/>
    </row>
    <row r="23" spans="1:33" ht="19.5" customHeight="1">
      <c r="A23" s="83"/>
      <c r="B23" s="125"/>
      <c r="C23" s="73" t="s">
        <v>40</v>
      </c>
      <c r="D23" s="19">
        <v>2.7</v>
      </c>
      <c r="E23" s="19"/>
      <c r="F23" s="20">
        <v>2</v>
      </c>
      <c r="G23" s="21"/>
      <c r="H23" s="22">
        <v>150000</v>
      </c>
      <c r="I23" s="23" t="s">
        <v>29</v>
      </c>
      <c r="J23" s="22">
        <f>H23*F23*D23</f>
        <v>810000</v>
      </c>
      <c r="K23" s="22">
        <f t="shared" si="0"/>
        <v>161254758.505</v>
      </c>
      <c r="L23" s="17"/>
      <c r="M23" s="5"/>
      <c r="N23" s="5"/>
      <c r="O23" s="5"/>
      <c r="P23" s="5"/>
      <c r="Q23" s="5"/>
      <c r="R23" s="5"/>
    </row>
    <row r="24" spans="1:33" ht="19.5" customHeight="1">
      <c r="A24" s="83"/>
      <c r="B24" s="125"/>
      <c r="C24" s="73" t="s">
        <v>108</v>
      </c>
      <c r="D24" s="19"/>
      <c r="E24" s="19"/>
      <c r="F24" s="20">
        <v>2</v>
      </c>
      <c r="G24" s="21"/>
      <c r="H24" s="22">
        <v>90000</v>
      </c>
      <c r="I24" s="23" t="s">
        <v>47</v>
      </c>
      <c r="J24" s="22">
        <f>H24*F24</f>
        <v>180000</v>
      </c>
      <c r="K24" s="22">
        <f t="shared" si="0"/>
        <v>161434758.505</v>
      </c>
      <c r="L24" s="17"/>
      <c r="M24" s="5"/>
      <c r="N24" s="5"/>
      <c r="O24" s="5"/>
      <c r="P24" s="5"/>
      <c r="Q24" s="5"/>
      <c r="R24" s="5"/>
    </row>
    <row r="25" spans="1:33" ht="19.5" customHeight="1">
      <c r="A25" s="83"/>
      <c r="B25" s="125"/>
      <c r="C25" s="73" t="s">
        <v>98</v>
      </c>
      <c r="D25" s="54"/>
      <c r="E25" s="54"/>
      <c r="F25" s="55">
        <v>9</v>
      </c>
      <c r="G25" s="56"/>
      <c r="H25" s="57">
        <v>24000</v>
      </c>
      <c r="I25" s="58" t="s">
        <v>42</v>
      </c>
      <c r="J25" s="57">
        <f>H25*F25</f>
        <v>216000</v>
      </c>
      <c r="K25" s="22">
        <f t="shared" si="0"/>
        <v>161650758.505</v>
      </c>
      <c r="L25" s="17"/>
      <c r="M25" s="5"/>
      <c r="N25" s="5"/>
      <c r="O25" s="5"/>
      <c r="P25" s="5"/>
      <c r="Q25" s="5"/>
      <c r="R25" s="5"/>
    </row>
    <row r="26" spans="1:33" ht="18">
      <c r="A26" s="83"/>
      <c r="B26" s="112" t="s">
        <v>27</v>
      </c>
      <c r="C26" s="112"/>
      <c r="D26" s="112"/>
      <c r="E26" s="112"/>
      <c r="F26" s="112"/>
      <c r="G26" s="112"/>
      <c r="H26" s="112"/>
      <c r="I26" s="112"/>
      <c r="J26" s="30">
        <f>SUM(J14:J25)</f>
        <v>161650758.505</v>
      </c>
      <c r="K26" s="28"/>
      <c r="L26" s="12"/>
      <c r="M26" s="5"/>
      <c r="N26" s="5"/>
      <c r="O26" s="5"/>
      <c r="P26" s="5"/>
      <c r="Q26" s="5"/>
      <c r="R26" s="5"/>
    </row>
    <row r="27" spans="1:33">
      <c r="A27" s="7"/>
      <c r="B27" s="2"/>
      <c r="C27" s="2"/>
      <c r="D27" s="2"/>
      <c r="E27" s="2"/>
      <c r="F27" s="31"/>
      <c r="G27" s="113"/>
      <c r="H27" s="113"/>
      <c r="I27" s="32"/>
      <c r="J27" s="33"/>
      <c r="K27" s="34"/>
      <c r="L27" s="1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6.5">
      <c r="A28" s="7"/>
      <c r="B28" s="114" t="s">
        <v>18</v>
      </c>
      <c r="C28" s="115"/>
      <c r="D28" s="115"/>
      <c r="E28" s="116"/>
      <c r="F28" s="83"/>
      <c r="G28" s="35"/>
      <c r="H28" s="36" t="s">
        <v>101</v>
      </c>
      <c r="I28" s="36"/>
      <c r="J28" s="36"/>
      <c r="K28" s="36"/>
      <c r="L28" s="3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6.5">
      <c r="A29" s="7"/>
      <c r="B29" s="117" t="s">
        <v>19</v>
      </c>
      <c r="C29" s="118"/>
      <c r="D29" s="118"/>
      <c r="E29" s="119"/>
      <c r="F29" s="83"/>
      <c r="G29" s="35"/>
      <c r="H29" s="38"/>
      <c r="I29" s="36" t="s">
        <v>20</v>
      </c>
      <c r="J29" s="36"/>
      <c r="K29" s="36"/>
      <c r="L29" s="3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26.25">
      <c r="A30" s="7"/>
      <c r="B30" s="39" t="s">
        <v>21</v>
      </c>
      <c r="C30" s="7"/>
      <c r="D30" s="7"/>
      <c r="E30" s="7"/>
      <c r="F30" s="40" t="s">
        <v>22</v>
      </c>
      <c r="G30" s="41"/>
      <c r="H30" s="42"/>
      <c r="I30" s="43"/>
      <c r="J30" s="43"/>
      <c r="K30" s="34"/>
      <c r="L30" s="37"/>
      <c r="M30" s="5"/>
      <c r="N30" s="5"/>
      <c r="O30" s="5"/>
      <c r="P30" s="5"/>
      <c r="Q30" s="5"/>
      <c r="R30" s="5"/>
      <c r="S30" s="5">
        <v>2409000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6.5">
      <c r="A31" s="7"/>
      <c r="B31" s="44" t="s">
        <v>23</v>
      </c>
      <c r="C31" s="7"/>
      <c r="D31" s="5"/>
      <c r="E31" s="5"/>
      <c r="F31" s="45"/>
      <c r="G31" s="46"/>
      <c r="H31" s="46"/>
      <c r="I31" s="46"/>
      <c r="J31" s="46"/>
      <c r="K31" s="34"/>
      <c r="L31" s="3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6.5">
      <c r="A32" s="7"/>
      <c r="B32" s="39" t="s">
        <v>24</v>
      </c>
      <c r="C32" s="83"/>
      <c r="D32" s="120"/>
      <c r="E32" s="120"/>
      <c r="F32" s="120"/>
      <c r="G32" s="120"/>
      <c r="H32" s="120"/>
      <c r="I32" s="120"/>
      <c r="J32" s="120"/>
      <c r="K32" s="4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20.25">
      <c r="A33" s="7"/>
      <c r="B33" s="44" t="s">
        <v>25</v>
      </c>
      <c r="C33" s="83"/>
      <c r="D33" s="120"/>
      <c r="E33" s="120"/>
      <c r="F33" s="120"/>
      <c r="G33" s="120"/>
      <c r="H33" s="120"/>
      <c r="I33" s="120"/>
      <c r="J33" s="120"/>
      <c r="K33" s="48"/>
      <c r="L33" s="4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75" customHeight="1">
      <c r="A34" s="5"/>
      <c r="B34" s="5"/>
      <c r="C34" s="121" t="s">
        <v>26</v>
      </c>
      <c r="D34" s="120"/>
      <c r="E34" s="120"/>
      <c r="F34" s="120"/>
      <c r="G34" s="120"/>
      <c r="H34" s="120"/>
      <c r="I34" s="120"/>
      <c r="J34" s="4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5.75" customHeight="1">
      <c r="A35" s="5"/>
      <c r="B35" s="5"/>
      <c r="C35" s="122"/>
      <c r="D35" s="123"/>
      <c r="E35" s="123"/>
      <c r="F35" s="123"/>
      <c r="G35" s="123"/>
      <c r="H35" s="123"/>
      <c r="I35" s="12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</sheetData>
  <mergeCells count="26">
    <mergeCell ref="B8:C8"/>
    <mergeCell ref="D8:E8"/>
    <mergeCell ref="G8:H8"/>
    <mergeCell ref="D2:J2"/>
    <mergeCell ref="D3:J3"/>
    <mergeCell ref="D4:J4"/>
    <mergeCell ref="D5:J5"/>
    <mergeCell ref="B7:J7"/>
    <mergeCell ref="C11:F11"/>
    <mergeCell ref="G11:H11"/>
    <mergeCell ref="I11:J11"/>
    <mergeCell ref="B14:I14"/>
    <mergeCell ref="C9:F9"/>
    <mergeCell ref="G9:H9"/>
    <mergeCell ref="I9:J9"/>
    <mergeCell ref="C10:F10"/>
    <mergeCell ref="G10:H10"/>
    <mergeCell ref="I10:J10"/>
    <mergeCell ref="C34:I35"/>
    <mergeCell ref="B16:B17"/>
    <mergeCell ref="B18:B25"/>
    <mergeCell ref="B26:I26"/>
    <mergeCell ref="G27:H27"/>
    <mergeCell ref="B28:E28"/>
    <mergeCell ref="B29:E29"/>
    <mergeCell ref="D32:J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BÁO GIÁ CHỊ XUYÊN</vt:lpstr>
      <vt:lpstr>Sheet2</vt:lpstr>
      <vt:lpstr>BÁO GIÁ</vt:lpstr>
      <vt:lpstr>Sheet1</vt:lpstr>
      <vt:lpstr>T4</vt:lpstr>
      <vt:lpstr>T5</vt:lpstr>
      <vt:lpstr>T5.1</vt:lpstr>
      <vt:lpstr>T6</vt:lpstr>
      <vt:lpstr>T6.2</vt:lpstr>
      <vt:lpstr>T7</vt:lpstr>
      <vt:lpstr>T7-8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2025-02-13T04:08:43Z</dcterms:created>
  <dcterms:modified xsi:type="dcterms:W3CDTF">2025-11-19T04:10:23Z</dcterms:modified>
</cp:coreProperties>
</file>